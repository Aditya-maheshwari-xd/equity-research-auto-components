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DCF" sheetId="3" state="visible" r:id="rId5"/>
    <sheet name="Sensitivity" sheetId="4" state="visible" r:id="rId6"/>
    <sheet name="Comps" sheetId="5" state="visible" r:id="rId7"/>
    <sheet name="Historicals" sheetId="6" state="visible" r:id="rId8"/>
    <sheet name="WACC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1 = Bear, 2 = Base, 3 = Bull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8" authorId="0">
      <text>
        <r>
          <rPr>
            <sz val="10"/>
            <rFont val="Arial"/>
            <family val="2"/>
          </rPr>
          <t xml:space="preserve">Hard-coded 0.5, 1.5, ... : cash assumed to arrive mid-year.</t>
        </r>
      </text>
    </comment>
  </commentList>
</comments>
</file>

<file path=xl/sharedStrings.xml><?xml version="1.0" encoding="utf-8"?>
<sst xmlns="http://schemas.openxmlformats.org/spreadsheetml/2006/main" count="269" uniqueCount="220">
  <si>
    <t xml:space="preserve">Endurance Technologies Ltd (NSE: ENDURANCE)</t>
  </si>
  <si>
    <t xml:space="preserve">DCF valuation model, prepared 18 Oct 2026. Student research for learning purposes, not investment advice.</t>
  </si>
  <si>
    <t xml:space="preserve">Scenario</t>
  </si>
  <si>
    <t xml:space="preserve">Intrinsic value per share</t>
  </si>
  <si>
    <t xml:space="preserve">Share price (NSE close, 16-Oct-26)</t>
  </si>
  <si>
    <t xml:space="preserve">Upside / (downside)</t>
  </si>
  <si>
    <t xml:space="preserve">WACC</t>
  </si>
  <si>
    <t xml:space="preserve">Terminal growth</t>
  </si>
  <si>
    <t xml:space="preserve">Terminal value % of EV</t>
  </si>
  <si>
    <t xml:space="preserve">Enterprise value (INR Cr)</t>
  </si>
  <si>
    <t xml:space="preserve">How to use</t>
  </si>
  <si>
    <t xml:space="preserve">Assumptions!C4 switches scenario: 1 = Bear, 2 = Base, 3 = Bull.</t>
  </si>
  <si>
    <t xml:space="preserve">Blue = input (each has a source or rationale beside it). Black = formula. Green = link to another sheet.</t>
  </si>
  <si>
    <t xml:space="preserve">Yellow = key outputs and the scenario switch.</t>
  </si>
  <si>
    <t xml:space="preserve">Sensitivity tab re-runs the valuation for different WACC, terminal growth and exit multiples.</t>
  </si>
  <si>
    <t xml:space="preserve">Historicals: StockAnalysis.com (S&amp;P Global). Company filings on NSE for FY26 and Q1 FY27 results.</t>
  </si>
  <si>
    <t xml:space="preserve">Sheets</t>
  </si>
  <si>
    <t xml:space="preserve">Assumptions</t>
  </si>
  <si>
    <t xml:space="preserve">scenario switch and every forecast driver</t>
  </si>
  <si>
    <t xml:space="preserve">DCF</t>
  </si>
  <si>
    <t xml:space="preserve">10-year FCFF forecast, terminal value, equity bridge</t>
  </si>
  <si>
    <t xml:space="preserve">Sensitivity</t>
  </si>
  <si>
    <t xml:space="preserve">WACC x g, exit multiple, beta x ERP</t>
  </si>
  <si>
    <t xml:space="preserve">Comps</t>
  </si>
  <si>
    <t xml:space="preserve">listed peer multiples</t>
  </si>
  <si>
    <t xml:space="preserve">cost of capital build-up</t>
  </si>
  <si>
    <t xml:space="preserve">Historicals</t>
  </si>
  <si>
    <t xml:space="preserve">FY22-FY26 financials and ratios</t>
  </si>
  <si>
    <t xml:space="preserve">Forecast assumptions</t>
  </si>
  <si>
    <t xml:space="preserve">Blue cells are inputs. Change the scenario in C4 (1 = Bear, 2 = Base, 3 = Bull) and the whole model updates.</t>
  </si>
  <si>
    <t xml:space="preserve">Scenario selected</t>
  </si>
  <si>
    <t xml:space="preserve">Driver</t>
  </si>
  <si>
    <t xml:space="preserve">FY26A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</si>
  <si>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</si>
  <si>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</si>
  <si>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</si>
  <si>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</si>
  <si>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</si>
  <si>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FY32E</t>
  </si>
  <si>
    <t xml:space="preserve">FY33E</t>
  </si>
  <si>
    <t xml:space="preserve">FY34E</t>
  </si>
  <si>
    <t xml:space="preserve">FY35E</t>
  </si>
  <si>
    <t xml:space="preserve">FY36E</t>
  </si>
  <si>
    <t xml:space="preserve">Rationale</t>
  </si>
  <si>
    <t xml:space="preserve">Revenue growth</t>
  </si>
  <si>
    <t xml:space="preserve">Base: Q1 FY27 sales +29.6% (Stoferle, strong 2W/PV volumes); FY27E 17% assumes H2 normalises on a high base. Then fades to 8% by FY36: a 10-year CAGR of ~11%, in line with the company's own 10-year sales CAGR (11%, Screener). Bull adds ABS/alloy-wheel/4W wins; Bear = 2W slowdown + weak Europe.</t>
  </si>
  <si>
    <t xml:space="preserve">  Bear</t>
  </si>
  <si>
    <t xml:space="preserve">  Base</t>
  </si>
  <si>
    <t xml:space="preserve">  Bull</t>
  </si>
  <si>
    <t xml:space="preserve">Revenue growth (live)</t>
  </si>
  <si>
    <t xml:space="preserve">EBITDA margin (excl. other income)</t>
  </si>
  <si>
    <t xml:space="preserve">FY26 13.2%, TTM Jun-26 12.9% (input costs). Base recovers to 13.8% from higher-margin ABS, alloy wheels and Europe EV/hybrid programmes. Bear stays ~12.5%.</t>
  </si>
  <si>
    <t xml:space="preserve">EBITDA margin (live)</t>
  </si>
  <si>
    <t xml:space="preserve">Other drivers (all scenarios)</t>
  </si>
  <si>
    <t xml:space="preserve">D&amp;A % revenue</t>
  </si>
  <si>
    <t xml:space="preserve">FY26 4.8%; held near that as new plants depreciate.</t>
  </si>
  <si>
    <t xml:space="preserve">Capex % revenue</t>
  </si>
  <si>
    <t xml:space="preserve">FY26 8.9% (expansion year). Mgmt: FY27 capex similar to FY26. Falls to 5.5% as plants fill; stays above D&amp;A to fund growth.</t>
  </si>
  <si>
    <t xml:space="preserve">NWC % revenue</t>
  </si>
  <si>
    <t xml:space="preserve">FY26 7.0% (Rec + Inv - Pay); 5-yr range 7-9%. Held at 7%.</t>
  </si>
  <si>
    <t xml:space="preserve">Valuation inputs</t>
  </si>
  <si>
    <t xml:space="preserve">Tax rate</t>
  </si>
  <si>
    <t xml:space="preserve">Statutory rate under Sec 115BAA (22% + surcharge + cess).</t>
  </si>
  <si>
    <t xml:space="preserve">Nominal INR; below India's long-run nominal GDP (~10%) — assumes share of growth slows.</t>
  </si>
  <si>
    <t xml:space="preserve">Valuation date (base) </t>
  </si>
  <si>
    <t xml:space="preserve">31-Mar-2026</t>
  </si>
  <si>
    <t xml:space="preserve">Cash flows discounted from FY26 year end (mid-year convention).</t>
  </si>
  <si>
    <t xml:space="preserve">Days from 31-Mar-26 to 16-Oct-26</t>
  </si>
  <si>
    <t xml:space="preserve">Equity value is rolled forward at cost of equity to the price date.</t>
  </si>
  <si>
    <t xml:space="preserve">FY26 final dividend paid (INR/share)</t>
  </si>
  <si>
    <t xml:space="preserve">FY26 press release: ₹11.50/share recommended; paid before price date, so deducted.</t>
  </si>
  <si>
    <t xml:space="preserve">Stoferle: price paid for 8% (EUR m)</t>
  </si>
  <si>
    <t xml:space="preserve">Q1 FY27 investor presentation: EUR 6.24m for an additional 8% (stake now 68%).</t>
  </si>
  <si>
    <t xml:space="preserve">Stoferle: remaining stake to buy</t>
  </si>
  <si>
    <t xml:space="preserve">Remaining 32% to be acquired over four years (investor presentation).</t>
  </si>
  <si>
    <t xml:space="preserve">EUR/INR</t>
  </si>
  <si>
    <t xml:space="preserve">Implied from Q1 FY27 Europe revenue: ₹1,146 Cr (= ₹11,460m) / EUR 104.3m.</t>
  </si>
  <si>
    <t xml:space="preserve">Stoferle future payment (INR Cr) — treated like debt</t>
  </si>
  <si>
    <t xml:space="preserve">Implied value of 100% (6.24/8%) x 32% x FX. EUR m x INR/EUR / 10 = INR crore.</t>
  </si>
  <si>
    <t xml:space="preserve">Endurance Technologies: discounted cash flow (FCFF)</t>
  </si>
  <si>
    <t xml:space="preserve">INR crore</t>
  </si>
  <si>
    <t xml:space="preserve">Revenue</t>
  </si>
  <si>
    <t xml:space="preserve">  growth</t>
  </si>
  <si>
    <t xml:space="preserve">EBITDA</t>
  </si>
  <si>
    <t xml:space="preserve">  margin</t>
  </si>
  <si>
    <t xml:space="preserve">D&amp;A</t>
  </si>
  <si>
    <t xml:space="preserve">EBIT</t>
  </si>
  <si>
    <t xml:space="preserve">Tax on EBIT</t>
  </si>
  <si>
    <t xml:space="preserve">NOPAT</t>
  </si>
  <si>
    <t xml:space="preserve">+ D&amp;A</t>
  </si>
  <si>
    <t xml:space="preserve">- Capex</t>
  </si>
  <si>
    <t xml:space="preserve">- Increase in NWC</t>
  </si>
  <si>
    <t xml:space="preserve">Free cash flow to firm (FCFF)</t>
  </si>
  <si>
    <t xml:space="preserve">Discount period (years, mid-year)</t>
  </si>
  <si>
    <t xml:space="preserve">Discount factor</t>
  </si>
  <si>
    <t xml:space="preserve">PV of FCFF</t>
  </si>
  <si>
    <t xml:space="preserve">Valuation</t>
  </si>
  <si>
    <t xml:space="preserve">Sum of PV of FCFF (FY27-FY36)</t>
  </si>
  <si>
    <t xml:space="preserve">Terminal value (Gordon growth, at FY36)</t>
  </si>
  <si>
    <t xml:space="preserve">PV of terminal value</t>
  </si>
  <si>
    <t xml:space="preserve">Enterprise value (31-Mar-26)</t>
  </si>
  <si>
    <t xml:space="preserve">+ Cash &amp; short-term investments</t>
  </si>
  <si>
    <t xml:space="preserve">- Total debt incl. leases</t>
  </si>
  <si>
    <t xml:space="preserve">- Stoferle remaining stake (minority)</t>
  </si>
  <si>
    <t xml:space="preserve">Equity value (31-Mar-26)</t>
  </si>
  <si>
    <t xml:space="preserve">Roll forward to 16-Oct-26 at cost of equity</t>
  </si>
  <si>
    <t xml:space="preserve">- FY26 dividend paid</t>
  </si>
  <si>
    <t xml:space="preserve">Equity value (16-Oct-26)</t>
  </si>
  <si>
    <t xml:space="preserve">Shares outstanding (crore)</t>
  </si>
  <si>
    <t xml:space="preserve">Intrinsic value per share (INR)</t>
  </si>
  <si>
    <t xml:space="preserve">Current share price (16-Oct-26)</t>
  </si>
  <si>
    <t xml:space="preserve">Implied multiples at intrinsic value</t>
  </si>
  <si>
    <t xml:space="preserve">EV / FY27E EBITDA</t>
  </si>
  <si>
    <t xml:space="preserve">Implied terminal EV / EBITDA (FY36)</t>
  </si>
  <si>
    <t xml:space="preserve">Market EV / FY27E EBITDA (current price)</t>
  </si>
  <si>
    <t xml:space="preserve">Checks</t>
  </si>
  <si>
    <t xml:space="preserve">WACC &gt; terminal growth</t>
  </si>
  <si>
    <t xml:space="preserve">Terminal capex &gt;= D&amp;A (growth must be funded)</t>
  </si>
  <si>
    <t xml:space="preserve">Sensitivity of intrinsic value per share (INR)</t>
  </si>
  <si>
    <t xml:space="preserve">Every cell re-runs the valuation with the FCFF stream from the DCF sheet (current scenario).</t>
  </si>
  <si>
    <t xml:space="preserve">WACC (down) x terminal growth (across)</t>
  </si>
  <si>
    <t xml:space="preserve">Current price</t>
  </si>
  <si>
    <t xml:space="preserve">Live WACC in model</t>
  </si>
  <si>
    <t xml:space="preserve">Cross-check: exit multiple instead of Gordon growth</t>
  </si>
  <si>
    <t xml:space="preserve">Terminal EV / FY36 EBITDA</t>
  </si>
  <si>
    <t xml:space="preserve">Value per share (INR)</t>
  </si>
  <si>
    <t xml:space="preserve">Implied terminal growth</t>
  </si>
  <si>
    <t xml:space="preserve">Beta (down) x equity risk premium (across): WACC</t>
  </si>
  <si>
    <t xml:space="preserve">Listed Indian auto-component peers</t>
  </si>
  <si>
    <t xml:space="preserve">Market data as reported by Value Research / 5paisa on the date shown (INR). Blue = sourced input.</t>
  </si>
  <si>
    <t xml:space="preserve">Company</t>
  </si>
  <si>
    <t xml:space="preserve">Price</t>
  </si>
  <si>
    <t xml:space="preserve">Mkt cap (Cr)</t>
  </si>
  <si>
    <t xml:space="preserve">P/E (TTM)</t>
  </si>
  <si>
    <t xml:space="preserve">EV/EBITDA</t>
  </si>
  <si>
    <t xml:space="preserve">ROE</t>
  </si>
  <si>
    <t xml:space="preserve">As of</t>
  </si>
  <si>
    <t xml:space="preserve">Note</t>
  </si>
  <si>
    <t xml:space="preserve">Endurance Technologies</t>
  </si>
  <si>
    <t xml:space="preserve">16-Oct-26</t>
  </si>
  <si>
    <t xml:space="preserve">Value Research; ROE from Screener</t>
  </si>
  <si>
    <t xml:space="preserve">Uno Minda</t>
  </si>
  <si>
    <t xml:space="preserve">Lighting, switches, alloy wheels, EV parts</t>
  </si>
  <si>
    <t xml:space="preserve">Sona BLW Precision</t>
  </si>
  <si>
    <t xml:space="preserve">EV driveline; premium for EV exposure</t>
  </si>
  <si>
    <t xml:space="preserve">Gabriel India</t>
  </si>
  <si>
    <t xml:space="preserve">05-Oct-26</t>
  </si>
  <si>
    <t xml:space="preserve">Closest product peer (suspension)</t>
  </si>
  <si>
    <t xml:space="preserve">Minda Corporation</t>
  </si>
  <si>
    <t xml:space="preserve">n/a</t>
  </si>
  <si>
    <t xml:space="preserve">5paisa; EV/EBITDA, ROE not shown</t>
  </si>
  <si>
    <t xml:space="preserve">Bharat Forge</t>
  </si>
  <si>
    <t xml:space="preserve">Forgings + defence; P/E distorted, excluded from median</t>
  </si>
  <si>
    <t xml:space="preserve">Peer median (excl. Endurance, Bharat Forge)</t>
  </si>
  <si>
    <t xml:space="preserve">Endurance discount to peer median</t>
  </si>
  <si>
    <t xml:space="preserve">Implied value per share at peer median P/E x Endurance TTM EPS (₹68.95, StockAnalysis TTM Jun-26)</t>
  </si>
  <si>
    <t xml:space="preserve">Implied value at Endurance's own TTM P/E applied to FY27E EPS proxy is in the pitch deck.</t>
  </si>
  <si>
    <t xml:space="preserve">Sources: valueresearchonline.com stock pages (Uno Minda, Sona BLW, Gabriel India, Bharat Forge, Endurance key ratios); 5paisa.com (Minda Corp); screener.in (Endurance ROE). Retrieved 18 Oct 2026.</t>
  </si>
  <si>
    <t xml:space="preserve">Endurance Technologies: consolidated historicals</t>
  </si>
  <si>
    <t xml:space="preserve">INR crore, fiscal years ending 31 March. Blue = reported figures (source in column G).</t>
  </si>
  <si>
    <t xml:space="preserve">FY22</t>
  </si>
  <si>
    <t xml:space="preserve">FY23</t>
  </si>
  <si>
    <t xml:space="preserve">FY24</t>
  </si>
  <si>
    <t xml:space="preserve">FY25</t>
  </si>
  <si>
    <t xml:space="preserve">FY26</t>
  </si>
  <si>
    <t xml:space="preserve">Source</t>
  </si>
  <si>
    <t xml:space="preserve">StockAnalysis.com income statement (S&amp;P Global data), stockanalysis.com/quote/nse/ENDURANCE/financials/income-statement/</t>
  </si>
  <si>
    <t xml:space="preserve">Net income</t>
  </si>
  <si>
    <t xml:space="preserve">Operating cash flow</t>
  </si>
  <si>
    <t xml:space="preserve">StockAnalysis.com cash flow, stockanalysis.com/quote/nse/ENDURANCE/financials/cash-flow-statement/</t>
  </si>
  <si>
    <t xml:space="preserve">Capex</t>
  </si>
  <si>
    <t xml:space="preserve">Acquisitions</t>
  </si>
  <si>
    <t xml:space="preserve">Receivables</t>
  </si>
  <si>
    <t xml:space="preserve">StockAnalysis.com balance sheet, stockanalysis.com/quote/nse/ENDURANCE/financials/balance-sheet/</t>
  </si>
  <si>
    <t xml:space="preserve">Inventory</t>
  </si>
  <si>
    <t xml:space="preserve">Payables</t>
  </si>
  <si>
    <t xml:space="preserve">Cash &amp; ST investments</t>
  </si>
  <si>
    <t xml:space="preserve">Total debt (incl. leases)</t>
  </si>
  <si>
    <t xml:space="preserve">Shareholders' equity</t>
  </si>
  <si>
    <t xml:space="preserve">EPS (INR)</t>
  </si>
  <si>
    <t xml:space="preserve">Ratios (formulas)</t>
  </si>
  <si>
    <t xml:space="preserve">EBITDA margin</t>
  </si>
  <si>
    <t xml:space="preserve">Net working capital (Rec + Inv - Pay)</t>
  </si>
  <si>
    <t xml:space="preserve">Effective tax proxy: 1 - NI/EBIT</t>
  </si>
  <si>
    <t xml:space="preserve">ROE (NI / closing equity)</t>
  </si>
  <si>
    <t xml:space="preserve">Free cash flow (OCF - capex)</t>
  </si>
  <si>
    <t xml:space="preserve">Net cash / (debt)</t>
  </si>
  <si>
    <t xml:space="preserve">Note: EBITDA here excludes other income (S&amp;P definition). Company-reported FY26 EBITDA including other income was ₹2,090 Cr (14.2% of total income), per the FY26 press release (NSE filing, 14 May 2026).</t>
  </si>
  <si>
    <t xml:space="preserve">Note: 'NI / EBIT' mixes interest, other income and tax, so it is only a sanity check; the model uses the statutory 25.17% rate (Section 115BAA).</t>
  </si>
  <si>
    <t xml:space="preserve">Discount rate (WACC)</t>
  </si>
  <si>
    <t xml:space="preserve">INR, nominal. Blue = input with source; black = formula.</t>
  </si>
  <si>
    <t xml:space="preserve">Item</t>
  </si>
  <si>
    <t xml:space="preserve">Value</t>
  </si>
  <si>
    <t xml:space="preserve">Source / reasoning</t>
  </si>
  <si>
    <t xml:space="preserve">India 10Y G-sec yield</t>
  </si>
  <si>
    <t xml:space="preserve">Trading Economics, 28 Sep 2026: India 10Y near a two-year high at ~7.18%.</t>
  </si>
  <si>
    <t xml:space="preserve">India sovereign default spread</t>
  </si>
  <si>
    <t xml:space="preserve">Damodaran country risk table (updated 5 Jan 2026): India Baa3, adjusted default spread 1.87%.</t>
  </si>
  <si>
    <t xml:space="preserve">INR risk-free rate</t>
  </si>
  <si>
    <t xml:space="preserve">Govt yield less default spread, so country risk isn't counted twice (it is already in the ERP below).</t>
  </si>
  <si>
    <t xml:space="preserve">Levered beta</t>
  </si>
  <si>
    <t xml:space="preserve">sharpely.in (price date 16 Oct 2026). Below 1: auto parts are cyclical, but ENDU is net cash. Flexed in Sensitivity.</t>
  </si>
  <si>
    <t xml:space="preserve">Equity risk premium (India, total)</t>
  </si>
  <si>
    <t xml:space="preserve">Damodaran (5 Jan 2026): mature-market ERP 4.23% + India CRP 2.85%.</t>
  </si>
  <si>
    <t xml:space="preserve">Cost of equity (CAPM)</t>
  </si>
  <si>
    <t xml:space="preserve">Rf + beta x ERP</t>
  </si>
  <si>
    <t xml:space="preserve">Pre-tax cost of debt</t>
  </si>
  <si>
    <t xml:space="preserve">Assumption. FY26 interest / avg debt is ~5% (cheap Euro loans + leases); 7.5% reflects marginal INR borrowing for an AA+ issuer (ICRA AA+ Stable, Sep 2025).</t>
  </si>
  <si>
    <t xml:space="preserve">Linked to Assumptions</t>
  </si>
  <si>
    <t xml:space="preserve">After-tax cost of debt</t>
  </si>
  <si>
    <t xml:space="preserve">Share price (INR)</t>
  </si>
  <si>
    <t xml:space="preserve">NSE close 16 Oct 2026 (Dhan / 5paisa / Value Research).</t>
  </si>
  <si>
    <t xml:space="preserve">Implied from market cap / price.</t>
  </si>
  <si>
    <t xml:space="preserve">Market cap (INR Cr)</t>
  </si>
  <si>
    <t xml:space="preserve">Dhan / 5paisa, 16 Oct 2026: ₹33,849 Cr.</t>
  </si>
  <si>
    <t xml:space="preserve">Total debt incl. leases (INR Cr)</t>
  </si>
  <si>
    <t xml:space="preserve">FY26 balance sheet</t>
  </si>
  <si>
    <t xml:space="preserve">Equity weight</t>
  </si>
  <si>
    <t xml:space="preserve">Market values</t>
  </si>
  <si>
    <t xml:space="preserve">Debt weight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</si>
</sst>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₹#,##0;&quot;(₹&quot;#,##0\);\-"/>
    <numFmt numFmtId="166" formatCode="0.0%;\(0.0%\);\-"/>
    <numFmt numFmtId="167" formatCode="#,##0;\(#,##0\);\-"/>
    <numFmt numFmtId="168" formatCode="0"/>
    <numFmt numFmtId="169" formatCode="\₹#,##0.00"/>
    <numFmt numFmtId="170" formatCode="0.00"/>
    <numFmt numFmtId="171" formatCode="0.0"/>
    <numFmt numFmtId="172" formatCode="0.000"/>
    <numFmt numFmtId="173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A5F"/>
        <bgColor rgb="FF333333"/>
      </patternFill>
    </fill>
    <fill>
      <patternFill patternType="solid">
        <fgColor rgb="FFE8EE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tr">
        <f aca="false">Assumptions!D4</f>
        <v>Base</v>
      </c>
    </row>
    <row r="5" customFormat="false" ht="15" hidden="false" customHeight="false" outlineLevel="0" collapsed="false">
      <c r="A5" s="3" t="s">
        <v>3</v>
      </c>
      <c r="B5" s="5" t="n">
        <f aca="false">DCF!B38</f>
        <v>1563.54456709537</v>
      </c>
    </row>
    <row r="6" customFormat="false" ht="15" hidden="false" customHeight="false" outlineLevel="0" collapsed="false">
      <c r="A6" s="3" t="s">
        <v>4</v>
      </c>
      <c r="B6" s="6" t="n">
        <f aca="false">WACC!B14</f>
        <v>2406.4</v>
      </c>
    </row>
    <row r="7" customFormat="false" ht="15" hidden="false" customHeight="false" outlineLevel="0" collapsed="false">
      <c r="A7" s="3" t="s">
        <v>5</v>
      </c>
      <c r="B7" s="7" t="n">
        <f aca="false">DCF!B40</f>
        <v>-0.350255748381244</v>
      </c>
    </row>
    <row r="8" customFormat="false" ht="15" hidden="false" customHeight="false" outlineLevel="0" collapsed="false">
      <c r="A8" s="3" t="s">
        <v>6</v>
      </c>
      <c r="B8" s="8" t="n">
        <f aca="false">WACC!B20</f>
        <v>0.112486819729245</v>
      </c>
    </row>
    <row r="9" customFormat="false" ht="15" hidden="false" customHeight="false" outlineLevel="0" collapsed="false">
      <c r="A9" s="3" t="s">
        <v>7</v>
      </c>
      <c r="B9" s="8" t="n">
        <f aca="false">Assumptions!$C$28</f>
        <v>0.05</v>
      </c>
    </row>
    <row r="10" customFormat="false" ht="15" hidden="false" customHeight="false" outlineLevel="0" collapsed="false">
      <c r="A10" s="3" t="s">
        <v>8</v>
      </c>
      <c r="B10" s="8" t="n">
        <f aca="false">DCF!B29</f>
        <v>0.655220953212776</v>
      </c>
    </row>
    <row r="11" customFormat="false" ht="15" hidden="false" customHeight="false" outlineLevel="0" collapsed="false">
      <c r="A11" s="3" t="s">
        <v>9</v>
      </c>
      <c r="B11" s="9" t="n">
        <f aca="false">DCF!B28</f>
        <v>20593.0117530307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10" t="s">
        <v>11</v>
      </c>
    </row>
    <row r="15" customFormat="false" ht="15" hidden="false" customHeight="false" outlineLevel="0" collapsed="false">
      <c r="A15" s="10" t="s">
        <v>12</v>
      </c>
    </row>
    <row r="16" customFormat="false" ht="15" hidden="false" customHeight="false" outlineLevel="0" collapsed="false">
      <c r="A16" s="10" t="s">
        <v>13</v>
      </c>
    </row>
    <row r="17" customFormat="false" ht="15" hidden="false" customHeight="false" outlineLevel="0" collapsed="false">
      <c r="A17" s="10" t="s">
        <v>14</v>
      </c>
    </row>
    <row r="18" customFormat="false" ht="15" hidden="false" customHeight="false" outlineLevel="0" collapsed="false">
      <c r="A18" s="10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10" t="s">
        <v>17</v>
      </c>
      <c r="B21" s="10" t="s">
        <v>18</v>
      </c>
    </row>
    <row r="22" customFormat="false" ht="15" hidden="false" customHeight="false" outlineLevel="0" collapsed="false">
      <c r="A22" s="10" t="s">
        <v>19</v>
      </c>
      <c r="B22" s="10" t="s">
        <v>20</v>
      </c>
    </row>
    <row r="23" customFormat="false" ht="15" hidden="false" customHeight="false" outlineLevel="0" collapsed="false">
      <c r="A23" s="10" t="s">
        <v>21</v>
      </c>
      <c r="B23" s="10" t="s">
        <v>22</v>
      </c>
    </row>
    <row r="24" customFormat="false" ht="15" hidden="false" customHeight="false" outlineLevel="0" collapsed="false">
      <c r="A24" s="10" t="s">
        <v>23</v>
      </c>
      <c r="B24" s="10" t="s">
        <v>24</v>
      </c>
    </row>
    <row r="25" customFormat="false" ht="15" hidden="false" customHeight="false" outlineLevel="0" collapsed="false">
      <c r="A25" s="10" t="s">
        <v>6</v>
      </c>
      <c r="B25" s="10" t="s">
        <v>25</v>
      </c>
    </row>
    <row r="26" customFormat="false" ht="15" hidden="false" customHeight="false" outlineLevel="0" collapsed="false">
      <c r="A26" s="10" t="s">
        <v>26</v>
      </c>
      <c r="B26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2" min="2" style="0" width="10"/>
    <col collapsed="false" customWidth="true" hidden="false" outlineLevel="0" max="13" min="13" style="0" width="60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4" customFormat="false" ht="15" hidden="false" customHeight="false" outlineLevel="0" collapsed="false">
      <c r="A4" s="3" t="s">
        <v>30</v>
      </c>
      <c r="C4" s="11" t="n">
        <v>2</v>
      </c>
      <c r="D4" s="3" t="str">
        <f aca="false">CHOOSE(C4,"Bear","Base","Bull")</f>
        <v>Base</v>
      </c>
    </row>
    <row r="6" customFormat="false" ht="15" hidden="false" customHeight="false" outlineLevel="0" collapsed="false">
      <c r="A6" s="12" t="s">
        <v>31</v>
      </c>
      <c r="B6" s="13" t="s">
        <v>32</v>
      </c>
      <c r="C6" s="13" t="s">
        <v>33</v>
      </c>
      <c r="D6" s="13" t="s">
        <v>34</v>
      </c>
      <c r="E6" s="13" t="s">
        <v>35</v>
      </c>
      <c r="F6" s="13" t="s">
        <v>36</v>
      </c>
      <c r="G6" s="13" t="s">
        <v>37</v>
      </c>
      <c r="H6" s="13" t="s">
        <v>38</v>
      </c>
      <c r="I6" s="13" t="s">
        <v>39</v>
      </c>
      <c r="J6" s="13" t="s">
        <v>40</v>
      </c>
      <c r="K6" s="13" t="s">
        <v>41</v>
      </c>
      <c r="L6" s="13" t="s">
        <v>42</v>
      </c>
      <c r="M6" s="13" t="s">
        <v>43</v>
      </c>
    </row>
    <row r="7" customFormat="false" ht="15" hidden="false" customHeight="false" outlineLevel="0" collapsed="false">
      <c r="A7" s="3" t="s">
        <v>44</v>
      </c>
      <c r="M7" s="2" t="s">
        <v>45</v>
      </c>
    </row>
    <row r="8" customFormat="false" ht="15" hidden="false" customHeight="false" outlineLevel="0" collapsed="false">
      <c r="A8" s="10" t="s">
        <v>46</v>
      </c>
      <c r="C8" s="14" t="n">
        <v>0.12</v>
      </c>
      <c r="D8" s="14" t="n">
        <v>0.09</v>
      </c>
      <c r="E8" s="14" t="n">
        <v>0.09</v>
      </c>
      <c r="F8" s="14" t="n">
        <v>0.08</v>
      </c>
      <c r="G8" s="14" t="n">
        <v>0.08</v>
      </c>
      <c r="H8" s="14" t="n">
        <v>0.07</v>
      </c>
      <c r="I8" s="14" t="n">
        <v>0.07</v>
      </c>
      <c r="J8" s="14" t="n">
        <v>0.06</v>
      </c>
      <c r="K8" s="14" t="n">
        <v>0.06</v>
      </c>
      <c r="L8" s="14" t="n">
        <v>0.06</v>
      </c>
    </row>
    <row r="9" customFormat="false" ht="15" hidden="false" customHeight="false" outlineLevel="0" collapsed="false">
      <c r="A9" s="10" t="s">
        <v>47</v>
      </c>
      <c r="C9" s="14" t="n">
        <v>0.17</v>
      </c>
      <c r="D9" s="14" t="n">
        <v>0.14</v>
      </c>
      <c r="E9" s="14" t="n">
        <v>0.13</v>
      </c>
      <c r="F9" s="14" t="n">
        <v>0.12</v>
      </c>
      <c r="G9" s="14" t="n">
        <v>0.11</v>
      </c>
      <c r="H9" s="14" t="n">
        <v>0.1</v>
      </c>
      <c r="I9" s="14" t="n">
        <v>0.1</v>
      </c>
      <c r="J9" s="14" t="n">
        <v>0.09</v>
      </c>
      <c r="K9" s="14" t="n">
        <v>0.09</v>
      </c>
      <c r="L9" s="14" t="n">
        <v>0.08</v>
      </c>
    </row>
    <row r="10" customFormat="false" ht="15" hidden="false" customHeight="false" outlineLevel="0" collapsed="false">
      <c r="A10" s="10" t="s">
        <v>48</v>
      </c>
      <c r="C10" s="14" t="n">
        <v>0.21</v>
      </c>
      <c r="D10" s="14" t="n">
        <v>0.17</v>
      </c>
      <c r="E10" s="14" t="n">
        <v>0.16</v>
      </c>
      <c r="F10" s="14" t="n">
        <v>0.15</v>
      </c>
      <c r="G10" s="14" t="n">
        <v>0.14</v>
      </c>
      <c r="H10" s="14" t="n">
        <v>0.13</v>
      </c>
      <c r="I10" s="14" t="n">
        <v>0.12</v>
      </c>
      <c r="J10" s="14" t="n">
        <v>0.11</v>
      </c>
      <c r="K10" s="14" t="n">
        <v>0.1</v>
      </c>
      <c r="L10" s="14" t="n">
        <v>0.1</v>
      </c>
    </row>
    <row r="11" customFormat="false" ht="15" hidden="false" customHeight="false" outlineLevel="0" collapsed="false">
      <c r="A11" s="3" t="s">
        <v>49</v>
      </c>
      <c r="B11" s="8" t="n">
        <f aca="false">Historicals!F22</f>
        <v>0.262533734689641</v>
      </c>
      <c r="C11" s="15" t="n">
        <f aca="false">CHOOSE($C$4,C8,C9,C10)</f>
        <v>0.17</v>
      </c>
      <c r="D11" s="15" t="n">
        <f aca="false">CHOOSE($C$4,D8,D9,D10)</f>
        <v>0.14</v>
      </c>
      <c r="E11" s="15" t="n">
        <f aca="false">CHOOSE($C$4,E8,E9,E10)</f>
        <v>0.13</v>
      </c>
      <c r="F11" s="15" t="n">
        <f aca="false">CHOOSE($C$4,F8,F9,F10)</f>
        <v>0.12</v>
      </c>
      <c r="G11" s="15" t="n">
        <f aca="false">CHOOSE($C$4,G8,G9,G10)</f>
        <v>0.11</v>
      </c>
      <c r="H11" s="15" t="n">
        <f aca="false">CHOOSE($C$4,H8,H9,H10)</f>
        <v>0.1</v>
      </c>
      <c r="I11" s="15" t="n">
        <f aca="false">CHOOSE($C$4,I8,I9,I10)</f>
        <v>0.1</v>
      </c>
      <c r="J11" s="15" t="n">
        <f aca="false">CHOOSE($C$4,J8,J9,J10)</f>
        <v>0.09</v>
      </c>
      <c r="K11" s="15" t="n">
        <f aca="false">CHOOSE($C$4,K8,K9,K10)</f>
        <v>0.09</v>
      </c>
      <c r="L11" s="15" t="n">
        <f aca="false">CHOOSE($C$4,L8,L9,L10)</f>
        <v>0.08</v>
      </c>
    </row>
    <row r="13" customFormat="false" ht="15" hidden="false" customHeight="false" outlineLevel="0" collapsed="false">
      <c r="A13" s="3" t="s">
        <v>50</v>
      </c>
      <c r="M13" s="2" t="s">
        <v>51</v>
      </c>
    </row>
    <row r="14" customFormat="false" ht="15" hidden="false" customHeight="false" outlineLevel="0" collapsed="false">
      <c r="A14" s="10" t="s">
        <v>46</v>
      </c>
      <c r="C14" s="14" t="n">
        <v>0.124</v>
      </c>
      <c r="D14" s="14" t="n">
        <v>0.124</v>
      </c>
      <c r="E14" s="14" t="n">
        <v>0.125</v>
      </c>
      <c r="F14" s="14" t="n">
        <v>0.125</v>
      </c>
      <c r="G14" s="14" t="n">
        <v>0.125</v>
      </c>
      <c r="H14" s="14" t="n">
        <v>0.125</v>
      </c>
      <c r="I14" s="14" t="n">
        <v>0.125</v>
      </c>
      <c r="J14" s="14" t="n">
        <v>0.125</v>
      </c>
      <c r="K14" s="14" t="n">
        <v>0.125</v>
      </c>
      <c r="L14" s="14" t="n">
        <v>0.125</v>
      </c>
    </row>
    <row r="15" customFormat="false" ht="15" hidden="false" customHeight="false" outlineLevel="0" collapsed="false">
      <c r="A15" s="10" t="s">
        <v>47</v>
      </c>
      <c r="C15" s="14" t="n">
        <v>0.13</v>
      </c>
      <c r="D15" s="14" t="n">
        <v>0.133</v>
      </c>
      <c r="E15" s="14" t="n">
        <v>0.136</v>
      </c>
      <c r="F15" s="14" t="n">
        <v>0.138</v>
      </c>
      <c r="G15" s="14" t="n">
        <v>0.138</v>
      </c>
      <c r="H15" s="14" t="n">
        <v>0.138</v>
      </c>
      <c r="I15" s="14" t="n">
        <v>0.138</v>
      </c>
      <c r="J15" s="14" t="n">
        <v>0.138</v>
      </c>
      <c r="K15" s="14" t="n">
        <v>0.138</v>
      </c>
      <c r="L15" s="14" t="n">
        <v>0.138</v>
      </c>
    </row>
    <row r="16" customFormat="false" ht="15" hidden="false" customHeight="false" outlineLevel="0" collapsed="false">
      <c r="A16" s="10" t="s">
        <v>48</v>
      </c>
      <c r="C16" s="14" t="n">
        <v>0.134</v>
      </c>
      <c r="D16" s="14" t="n">
        <v>0.139</v>
      </c>
      <c r="E16" s="14" t="n">
        <v>0.143</v>
      </c>
      <c r="F16" s="14" t="n">
        <v>0.146</v>
      </c>
      <c r="G16" s="14" t="n">
        <v>0.148</v>
      </c>
      <c r="H16" s="14" t="n">
        <v>0.148</v>
      </c>
      <c r="I16" s="14" t="n">
        <v>0.148</v>
      </c>
      <c r="J16" s="14" t="n">
        <v>0.148</v>
      </c>
      <c r="K16" s="14" t="n">
        <v>0.148</v>
      </c>
      <c r="L16" s="14" t="n">
        <v>0.148</v>
      </c>
    </row>
    <row r="17" customFormat="false" ht="15" hidden="false" customHeight="false" outlineLevel="0" collapsed="false">
      <c r="A17" s="3" t="s">
        <v>52</v>
      </c>
      <c r="B17" s="8" t="n">
        <f aca="false">Historicals!F23</f>
        <v>0.132304277228537</v>
      </c>
      <c r="C17" s="15" t="n">
        <f aca="false">CHOOSE($C$4,C14,C15,C16)</f>
        <v>0.13</v>
      </c>
      <c r="D17" s="15" t="n">
        <f aca="false">CHOOSE($C$4,D14,D15,D16)</f>
        <v>0.133</v>
      </c>
      <c r="E17" s="15" t="n">
        <f aca="false">CHOOSE($C$4,E14,E15,E16)</f>
        <v>0.136</v>
      </c>
      <c r="F17" s="15" t="n">
        <f aca="false">CHOOSE($C$4,F14,F15,F16)</f>
        <v>0.138</v>
      </c>
      <c r="G17" s="15" t="n">
        <f aca="false">CHOOSE($C$4,G14,G15,G16)</f>
        <v>0.138</v>
      </c>
      <c r="H17" s="15" t="n">
        <f aca="false">CHOOSE($C$4,H14,H15,H16)</f>
        <v>0.138</v>
      </c>
      <c r="I17" s="15" t="n">
        <f aca="false">CHOOSE($C$4,I14,I15,I16)</f>
        <v>0.138</v>
      </c>
      <c r="J17" s="15" t="n">
        <f aca="false">CHOOSE($C$4,J14,J15,J16)</f>
        <v>0.138</v>
      </c>
      <c r="K17" s="15" t="n">
        <f aca="false">CHOOSE($C$4,K14,K15,K16)</f>
        <v>0.138</v>
      </c>
      <c r="L17" s="15" t="n">
        <f aca="false">CHOOSE($C$4,L14,L15,L16)</f>
        <v>0.138</v>
      </c>
    </row>
    <row r="20" customFormat="false" ht="15" hidden="false" customHeight="false" outlineLevel="0" collapsed="false">
      <c r="A20" s="3" t="s">
        <v>53</v>
      </c>
    </row>
    <row r="21" customFormat="false" ht="15" hidden="false" customHeight="false" outlineLevel="0" collapsed="false">
      <c r="A21" s="10" t="s">
        <v>54</v>
      </c>
      <c r="B21" s="8" t="n">
        <f aca="false">Historicals!F24</f>
        <v>0.0479381196089313</v>
      </c>
      <c r="C21" s="14" t="n">
        <v>0.047</v>
      </c>
      <c r="D21" s="14" t="n">
        <v>0.047</v>
      </c>
      <c r="E21" s="14" t="n">
        <v>0.047</v>
      </c>
      <c r="F21" s="14" t="n">
        <v>0.047</v>
      </c>
      <c r="G21" s="14" t="n">
        <v>0.047</v>
      </c>
      <c r="H21" s="14" t="n">
        <v>0.047</v>
      </c>
      <c r="I21" s="14" t="n">
        <v>0.047</v>
      </c>
      <c r="J21" s="14" t="n">
        <v>0.047</v>
      </c>
      <c r="K21" s="14" t="n">
        <v>0.047</v>
      </c>
      <c r="L21" s="14" t="n">
        <v>0.047</v>
      </c>
      <c r="M21" s="2" t="s">
        <v>55</v>
      </c>
    </row>
    <row r="22" customFormat="false" ht="15" hidden="false" customHeight="false" outlineLevel="0" collapsed="false">
      <c r="A22" s="10" t="s">
        <v>56</v>
      </c>
      <c r="B22" s="8" t="n">
        <f aca="false">Historicals!F25</f>
        <v>0.088778355565604</v>
      </c>
      <c r="C22" s="14" t="n">
        <v>0.08</v>
      </c>
      <c r="D22" s="14" t="n">
        <v>0.075</v>
      </c>
      <c r="E22" s="14" t="n">
        <v>0.07</v>
      </c>
      <c r="F22" s="14" t="n">
        <v>0.065</v>
      </c>
      <c r="G22" s="14" t="n">
        <v>0.062</v>
      </c>
      <c r="H22" s="14" t="n">
        <v>0.06</v>
      </c>
      <c r="I22" s="14" t="n">
        <v>0.058</v>
      </c>
      <c r="J22" s="14" t="n">
        <v>0.056</v>
      </c>
      <c r="K22" s="14" t="n">
        <v>0.055</v>
      </c>
      <c r="L22" s="14" t="n">
        <v>0.055</v>
      </c>
      <c r="M22" s="2" t="s">
        <v>57</v>
      </c>
    </row>
    <row r="23" customFormat="false" ht="15" hidden="false" customHeight="false" outlineLevel="0" collapsed="false">
      <c r="A23" s="10" t="s">
        <v>58</v>
      </c>
      <c r="B23" s="8" t="n">
        <f aca="false">Historicals!F27</f>
        <v>0.0701018779246227</v>
      </c>
      <c r="C23" s="14" t="n">
        <v>0.07</v>
      </c>
      <c r="D23" s="14" t="n">
        <v>0.07</v>
      </c>
      <c r="E23" s="14" t="n">
        <v>0.07</v>
      </c>
      <c r="F23" s="14" t="n">
        <v>0.07</v>
      </c>
      <c r="G23" s="14" t="n">
        <v>0.07</v>
      </c>
      <c r="H23" s="14" t="n">
        <v>0.07</v>
      </c>
      <c r="I23" s="14" t="n">
        <v>0.07</v>
      </c>
      <c r="J23" s="14" t="n">
        <v>0.07</v>
      </c>
      <c r="K23" s="14" t="n">
        <v>0.07</v>
      </c>
      <c r="L23" s="14" t="n">
        <v>0.07</v>
      </c>
      <c r="M23" s="2" t="s">
        <v>59</v>
      </c>
    </row>
    <row r="26" customFormat="false" ht="15" hidden="false" customHeight="false" outlineLevel="0" collapsed="false">
      <c r="A26" s="3" t="s">
        <v>60</v>
      </c>
    </row>
    <row r="27" customFormat="false" ht="15" hidden="false" customHeight="false" outlineLevel="0" collapsed="false">
      <c r="A27" s="10" t="s">
        <v>61</v>
      </c>
      <c r="C27" s="14" t="n">
        <v>0.2517</v>
      </c>
      <c r="M27" s="2" t="s">
        <v>62</v>
      </c>
    </row>
    <row r="28" customFormat="false" ht="15" hidden="false" customHeight="false" outlineLevel="0" collapsed="false">
      <c r="A28" s="10" t="s">
        <v>7</v>
      </c>
      <c r="C28" s="14" t="n">
        <v>0.05</v>
      </c>
      <c r="M28" s="2" t="s">
        <v>63</v>
      </c>
    </row>
    <row r="29" customFormat="false" ht="15" hidden="false" customHeight="false" outlineLevel="0" collapsed="false">
      <c r="A29" s="10" t="s">
        <v>64</v>
      </c>
      <c r="B29" s="16" t="s">
        <v>65</v>
      </c>
      <c r="M29" s="2" t="s">
        <v>66</v>
      </c>
    </row>
    <row r="30" customFormat="false" ht="15" hidden="false" customHeight="false" outlineLevel="0" collapsed="false">
      <c r="A30" s="10" t="s">
        <v>67</v>
      </c>
      <c r="B30" s="17" t="n">
        <v>199</v>
      </c>
      <c r="M30" s="2" t="s">
        <v>68</v>
      </c>
    </row>
    <row r="31" customFormat="false" ht="15" hidden="false" customHeight="false" outlineLevel="0" collapsed="false">
      <c r="A31" s="10" t="s">
        <v>69</v>
      </c>
      <c r="B31" s="18" t="n">
        <v>11.5</v>
      </c>
      <c r="M31" s="2" t="s">
        <v>70</v>
      </c>
    </row>
    <row r="32" customFormat="false" ht="15" hidden="false" customHeight="false" outlineLevel="0" collapsed="false">
      <c r="A32" s="10" t="s">
        <v>71</v>
      </c>
      <c r="B32" s="19" t="n">
        <v>6.24</v>
      </c>
      <c r="M32" s="2" t="s">
        <v>72</v>
      </c>
    </row>
    <row r="33" customFormat="false" ht="15" hidden="false" customHeight="false" outlineLevel="0" collapsed="false">
      <c r="A33" s="10" t="s">
        <v>73</v>
      </c>
      <c r="B33" s="14" t="n">
        <v>0.32</v>
      </c>
      <c r="M33" s="2" t="s">
        <v>74</v>
      </c>
    </row>
    <row r="34" customFormat="false" ht="15" hidden="false" customHeight="false" outlineLevel="0" collapsed="false">
      <c r="A34" s="10" t="s">
        <v>75</v>
      </c>
      <c r="B34" s="20" t="n">
        <f aca="false">1146*10/104.3</f>
        <v>109.875359539789</v>
      </c>
      <c r="M34" s="2" t="s">
        <v>76</v>
      </c>
    </row>
    <row r="35" customFormat="false" ht="15" hidden="false" customHeight="false" outlineLevel="0" collapsed="false">
      <c r="A35" s="10" t="s">
        <v>77</v>
      </c>
      <c r="B35" s="21" t="n">
        <f aca="false">B32/0.08*B33*B34/10</f>
        <v>274.248897411314</v>
      </c>
      <c r="M35" s="2" t="s">
        <v>78</v>
      </c>
    </row>
  </sheetData>
  <dataValidations count="1">
    <dataValidation allowBlank="false" error="Enter 1, 2 or 3" errorStyle="stop" operator="between" showDropDown="false" showErrorMessage="true" showInputMessage="false" sqref="C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13" min="2" style="0" width="11"/>
  </cols>
  <sheetData>
    <row r="1" customFormat="false" ht="1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tr">
        <f aca="false">"INR crore. Scenario: "&amp;Assumptions!D4&amp;". Mid-year discounting from 31-Mar-2026."</f>
        <v>INR crore. Scenario: Base. Mid-year discounting from 31-Mar-2026.</v>
      </c>
    </row>
    <row r="4" customFormat="false" ht="15" hidden="false" customHeight="false" outlineLevel="0" collapsed="false">
      <c r="A4" s="12" t="s">
        <v>80</v>
      </c>
      <c r="B4" s="13" t="s">
        <v>32</v>
      </c>
      <c r="C4" s="13" t="s">
        <v>33</v>
      </c>
      <c r="D4" s="13" t="s">
        <v>34</v>
      </c>
      <c r="E4" s="13" t="s">
        <v>35</v>
      </c>
      <c r="F4" s="13" t="s">
        <v>36</v>
      </c>
      <c r="G4" s="13" t="s">
        <v>37</v>
      </c>
      <c r="H4" s="13" t="s">
        <v>38</v>
      </c>
      <c r="I4" s="13" t="s">
        <v>39</v>
      </c>
      <c r="J4" s="13" t="s">
        <v>40</v>
      </c>
      <c r="K4" s="13" t="s">
        <v>41</v>
      </c>
      <c r="L4" s="13" t="s">
        <v>42</v>
      </c>
    </row>
    <row r="5" customFormat="false" ht="15" hidden="false" customHeight="false" outlineLevel="0" collapsed="false">
      <c r="A5" s="3" t="s">
        <v>81</v>
      </c>
      <c r="B5" s="9" t="n">
        <f aca="false">Historicals!F5</f>
        <v>14595.9</v>
      </c>
      <c r="C5" s="21" t="n">
        <f aca="false">B5*(1+C6)</f>
        <v>17077.203</v>
      </c>
      <c r="D5" s="21" t="n">
        <f aca="false">C5*(1+D6)</f>
        <v>19468.01142</v>
      </c>
      <c r="E5" s="21" t="n">
        <f aca="false">D5*(1+E6)</f>
        <v>21998.8529046</v>
      </c>
      <c r="F5" s="21" t="n">
        <f aca="false">E5*(1+F6)</f>
        <v>24638.715253152</v>
      </c>
      <c r="G5" s="21" t="n">
        <f aca="false">F5*(1+G6)</f>
        <v>27348.9739309987</v>
      </c>
      <c r="H5" s="21" t="n">
        <f aca="false">G5*(1+H6)</f>
        <v>30083.8713240986</v>
      </c>
      <c r="I5" s="21" t="n">
        <f aca="false">H5*(1+I6)</f>
        <v>33092.2584565085</v>
      </c>
      <c r="J5" s="21" t="n">
        <f aca="false">I5*(1+J6)</f>
        <v>36070.5617175942</v>
      </c>
      <c r="K5" s="21" t="n">
        <f aca="false">J5*(1+K6)</f>
        <v>39316.9122721777</v>
      </c>
      <c r="L5" s="21" t="n">
        <f aca="false">K5*(1+L6)</f>
        <v>42462.2652539519</v>
      </c>
    </row>
    <row r="6" customFormat="false" ht="15" hidden="false" customHeight="false" outlineLevel="0" collapsed="false">
      <c r="A6" s="10" t="s">
        <v>82</v>
      </c>
      <c r="B6" s="8" t="n">
        <f aca="false">Historicals!F22</f>
        <v>0.262533734689641</v>
      </c>
      <c r="C6" s="8" t="n">
        <f aca="false">Assumptions!C11</f>
        <v>0.17</v>
      </c>
      <c r="D6" s="8" t="n">
        <f aca="false">Assumptions!D11</f>
        <v>0.14</v>
      </c>
      <c r="E6" s="8" t="n">
        <f aca="false">Assumptions!E11</f>
        <v>0.13</v>
      </c>
      <c r="F6" s="8" t="n">
        <f aca="false">Assumptions!F11</f>
        <v>0.12</v>
      </c>
      <c r="G6" s="8" t="n">
        <f aca="false">Assumptions!G11</f>
        <v>0.11</v>
      </c>
      <c r="H6" s="8" t="n">
        <f aca="false">Assumptions!H11</f>
        <v>0.1</v>
      </c>
      <c r="I6" s="8" t="n">
        <f aca="false">Assumptions!I11</f>
        <v>0.1</v>
      </c>
      <c r="J6" s="8" t="n">
        <f aca="false">Assumptions!J11</f>
        <v>0.09</v>
      </c>
      <c r="K6" s="8" t="n">
        <f aca="false">Assumptions!K11</f>
        <v>0.09</v>
      </c>
      <c r="L6" s="8" t="n">
        <f aca="false">Assumptions!L11</f>
        <v>0.08</v>
      </c>
    </row>
    <row r="7" customFormat="false" ht="15" hidden="false" customHeight="false" outlineLevel="0" collapsed="false">
      <c r="A7" s="3" t="s">
        <v>83</v>
      </c>
      <c r="B7" s="9" t="n">
        <f aca="false">Historicals!F6</f>
        <v>1931.1</v>
      </c>
      <c r="C7" s="21" t="n">
        <f aca="false">C5*C8</f>
        <v>2220.03639</v>
      </c>
      <c r="D7" s="21" t="n">
        <f aca="false">D5*D8</f>
        <v>2589.24551886</v>
      </c>
      <c r="E7" s="21" t="n">
        <f aca="false">E5*E8</f>
        <v>2991.8439950256</v>
      </c>
      <c r="F7" s="21" t="n">
        <f aca="false">F5*F8</f>
        <v>3400.14270493498</v>
      </c>
      <c r="G7" s="21" t="n">
        <f aca="false">G5*G8</f>
        <v>3774.15840247782</v>
      </c>
      <c r="H7" s="21" t="n">
        <f aca="false">H5*H8</f>
        <v>4151.57424272561</v>
      </c>
      <c r="I7" s="21" t="n">
        <f aca="false">I5*I8</f>
        <v>4566.73166699817</v>
      </c>
      <c r="J7" s="21" t="n">
        <f aca="false">J5*J8</f>
        <v>4977.737517028</v>
      </c>
      <c r="K7" s="21" t="n">
        <f aca="false">K5*K8</f>
        <v>5425.73389356052</v>
      </c>
      <c r="L7" s="21" t="n">
        <f aca="false">L5*L8</f>
        <v>5859.79260504537</v>
      </c>
    </row>
    <row r="8" customFormat="false" ht="15" hidden="false" customHeight="false" outlineLevel="0" collapsed="false">
      <c r="A8" s="10" t="s">
        <v>84</v>
      </c>
      <c r="B8" s="22" t="n">
        <f aca="false">B7/B5</f>
        <v>0.132304277228537</v>
      </c>
      <c r="C8" s="8" t="n">
        <f aca="false">Assumptions!C17</f>
        <v>0.13</v>
      </c>
      <c r="D8" s="8" t="n">
        <f aca="false">Assumptions!D17</f>
        <v>0.133</v>
      </c>
      <c r="E8" s="8" t="n">
        <f aca="false">Assumptions!E17</f>
        <v>0.136</v>
      </c>
      <c r="F8" s="8" t="n">
        <f aca="false">Assumptions!F17</f>
        <v>0.138</v>
      </c>
      <c r="G8" s="8" t="n">
        <f aca="false">Assumptions!G17</f>
        <v>0.138</v>
      </c>
      <c r="H8" s="8" t="n">
        <f aca="false">Assumptions!H17</f>
        <v>0.138</v>
      </c>
      <c r="I8" s="8" t="n">
        <f aca="false">Assumptions!I17</f>
        <v>0.138</v>
      </c>
      <c r="J8" s="8" t="n">
        <f aca="false">Assumptions!J17</f>
        <v>0.138</v>
      </c>
      <c r="K8" s="8" t="n">
        <f aca="false">Assumptions!K17</f>
        <v>0.138</v>
      </c>
      <c r="L8" s="8" t="n">
        <f aca="false">Assumptions!L17</f>
        <v>0.138</v>
      </c>
    </row>
    <row r="9" customFormat="false" ht="15" hidden="false" customHeight="false" outlineLevel="0" collapsed="false">
      <c r="A9" s="10" t="s">
        <v>85</v>
      </c>
      <c r="B9" s="9" t="n">
        <f aca="false">Historicals!F7</f>
        <v>699.7</v>
      </c>
      <c r="C9" s="21" t="n">
        <f aca="false">C5*Assumptions!C21</f>
        <v>802.628541</v>
      </c>
      <c r="D9" s="21" t="n">
        <f aca="false">D5*Assumptions!D21</f>
        <v>914.99653674</v>
      </c>
      <c r="E9" s="21" t="n">
        <f aca="false">E5*Assumptions!E21</f>
        <v>1033.9460865162</v>
      </c>
      <c r="F9" s="21" t="n">
        <f aca="false">F5*Assumptions!F21</f>
        <v>1158.01961689814</v>
      </c>
      <c r="G9" s="21" t="n">
        <f aca="false">G5*Assumptions!G21</f>
        <v>1285.40177475694</v>
      </c>
      <c r="H9" s="21" t="n">
        <f aca="false">H5*Assumptions!H21</f>
        <v>1413.94195223263</v>
      </c>
      <c r="I9" s="21" t="n">
        <f aca="false">I5*Assumptions!I21</f>
        <v>1555.3361474559</v>
      </c>
      <c r="J9" s="21" t="n">
        <f aca="false">J5*Assumptions!J21</f>
        <v>1695.31640072693</v>
      </c>
      <c r="K9" s="21" t="n">
        <f aca="false">K5*Assumptions!K21</f>
        <v>1847.89487679235</v>
      </c>
      <c r="L9" s="21" t="n">
        <f aca="false">L5*Assumptions!L21</f>
        <v>1995.72646693574</v>
      </c>
    </row>
    <row r="10" customFormat="false" ht="15" hidden="false" customHeight="false" outlineLevel="0" collapsed="false">
      <c r="A10" s="10" t="s">
        <v>86</v>
      </c>
      <c r="B10" s="21" t="n">
        <f aca="false">B7-B9</f>
        <v>1231.4</v>
      </c>
      <c r="C10" s="21" t="n">
        <f aca="false">C7-C9</f>
        <v>1417.407849</v>
      </c>
      <c r="D10" s="21" t="n">
        <f aca="false">D7-D9</f>
        <v>1674.24898212</v>
      </c>
      <c r="E10" s="21" t="n">
        <f aca="false">E7-E9</f>
        <v>1957.8979085094</v>
      </c>
      <c r="F10" s="21" t="n">
        <f aca="false">F7-F9</f>
        <v>2242.12308803683</v>
      </c>
      <c r="G10" s="21" t="n">
        <f aca="false">G7-G9</f>
        <v>2488.75662772088</v>
      </c>
      <c r="H10" s="21" t="n">
        <f aca="false">H7-H9</f>
        <v>2737.63229049297</v>
      </c>
      <c r="I10" s="21" t="n">
        <f aca="false">I7-I9</f>
        <v>3011.39551954227</v>
      </c>
      <c r="J10" s="21" t="n">
        <f aca="false">J7-J9</f>
        <v>3282.42111630107</v>
      </c>
      <c r="K10" s="21" t="n">
        <f aca="false">K7-K9</f>
        <v>3577.83901676817</v>
      </c>
      <c r="L10" s="21" t="n">
        <f aca="false">L7-L9</f>
        <v>3864.06613810963</v>
      </c>
    </row>
    <row r="11" customFormat="false" ht="15" hidden="false" customHeight="false" outlineLevel="0" collapsed="false">
      <c r="A11" s="10" t="s">
        <v>87</v>
      </c>
      <c r="C11" s="21" t="n">
        <f aca="false">-C10*Assumptions!$C$27</f>
        <v>-356.7615555933</v>
      </c>
      <c r="D11" s="21" t="n">
        <f aca="false">-D10*Assumptions!$C$27</f>
        <v>-421.408468799604</v>
      </c>
      <c r="E11" s="21" t="n">
        <f aca="false">-E10*Assumptions!$C$27</f>
        <v>-492.802903571816</v>
      </c>
      <c r="F11" s="21" t="n">
        <f aca="false">-F10*Assumptions!$C$27</f>
        <v>-564.342381258871</v>
      </c>
      <c r="G11" s="21" t="n">
        <f aca="false">-G10*Assumptions!$C$27</f>
        <v>-626.420043197346</v>
      </c>
      <c r="H11" s="21" t="n">
        <f aca="false">-H10*Assumptions!$C$27</f>
        <v>-689.062047517081</v>
      </c>
      <c r="I11" s="21" t="n">
        <f aca="false">-I10*Assumptions!$C$27</f>
        <v>-757.968252268789</v>
      </c>
      <c r="J11" s="21" t="n">
        <f aca="false">-J10*Assumptions!$C$27</f>
        <v>-826.18539497298</v>
      </c>
      <c r="K11" s="21" t="n">
        <f aca="false">-K10*Assumptions!$C$27</f>
        <v>-900.542080520549</v>
      </c>
      <c r="L11" s="21" t="n">
        <f aca="false">-L10*Assumptions!$C$27</f>
        <v>-972.585446962193</v>
      </c>
    </row>
    <row r="12" customFormat="false" ht="15" hidden="false" customHeight="false" outlineLevel="0" collapsed="false">
      <c r="A12" s="10" t="s">
        <v>88</v>
      </c>
      <c r="C12" s="21" t="n">
        <f aca="false">C10+C11</f>
        <v>1060.6462934067</v>
      </c>
      <c r="D12" s="21" t="n">
        <f aca="false">D10+D11</f>
        <v>1252.8405133204</v>
      </c>
      <c r="E12" s="21" t="n">
        <f aca="false">E10+E11</f>
        <v>1465.09500493758</v>
      </c>
      <c r="F12" s="21" t="n">
        <f aca="false">F10+F11</f>
        <v>1677.78070677796</v>
      </c>
      <c r="G12" s="21" t="n">
        <f aca="false">G10+G11</f>
        <v>1862.33658452354</v>
      </c>
      <c r="H12" s="21" t="n">
        <f aca="false">H10+H11</f>
        <v>2048.57024297589</v>
      </c>
      <c r="I12" s="21" t="n">
        <f aca="false">I10+I11</f>
        <v>2253.42726727348</v>
      </c>
      <c r="J12" s="21" t="n">
        <f aca="false">J10+J11</f>
        <v>2456.23572132809</v>
      </c>
      <c r="K12" s="21" t="n">
        <f aca="false">K10+K11</f>
        <v>2677.29693624762</v>
      </c>
      <c r="L12" s="21" t="n">
        <f aca="false">L10+L11</f>
        <v>2891.48069114743</v>
      </c>
    </row>
    <row r="13" customFormat="false" ht="15" hidden="false" customHeight="false" outlineLevel="0" collapsed="false">
      <c r="A13" s="10" t="s">
        <v>89</v>
      </c>
      <c r="C13" s="21" t="n">
        <f aca="false">C9</f>
        <v>802.628541</v>
      </c>
      <c r="D13" s="21" t="n">
        <f aca="false">D9</f>
        <v>914.99653674</v>
      </c>
      <c r="E13" s="21" t="n">
        <f aca="false">E9</f>
        <v>1033.9460865162</v>
      </c>
      <c r="F13" s="21" t="n">
        <f aca="false">F9</f>
        <v>1158.01961689814</v>
      </c>
      <c r="G13" s="21" t="n">
        <f aca="false">G9</f>
        <v>1285.40177475694</v>
      </c>
      <c r="H13" s="21" t="n">
        <f aca="false">H9</f>
        <v>1413.94195223263</v>
      </c>
      <c r="I13" s="21" t="n">
        <f aca="false">I9</f>
        <v>1555.3361474559</v>
      </c>
      <c r="J13" s="21" t="n">
        <f aca="false">J9</f>
        <v>1695.31640072693</v>
      </c>
      <c r="K13" s="21" t="n">
        <f aca="false">K9</f>
        <v>1847.89487679235</v>
      </c>
      <c r="L13" s="21" t="n">
        <f aca="false">L9</f>
        <v>1995.72646693574</v>
      </c>
    </row>
    <row r="14" customFormat="false" ht="15" hidden="false" customHeight="false" outlineLevel="0" collapsed="false">
      <c r="A14" s="10" t="s">
        <v>90</v>
      </c>
      <c r="B14" s="9" t="n">
        <f aca="false">-Historicals!F11</f>
        <v>-1295.8</v>
      </c>
      <c r="C14" s="21" t="n">
        <f aca="false">-C5*Assumptions!C22</f>
        <v>-1366.17624</v>
      </c>
      <c r="D14" s="21" t="n">
        <f aca="false">-D5*Assumptions!D22</f>
        <v>-1460.1008565</v>
      </c>
      <c r="E14" s="21" t="n">
        <f aca="false">-E5*Assumptions!E22</f>
        <v>-1539.919703322</v>
      </c>
      <c r="F14" s="21" t="n">
        <f aca="false">-F5*Assumptions!F22</f>
        <v>-1601.51649145488</v>
      </c>
      <c r="G14" s="21" t="n">
        <f aca="false">-G5*Assumptions!G22</f>
        <v>-1695.63638372192</v>
      </c>
      <c r="H14" s="21" t="n">
        <f aca="false">-H5*Assumptions!H22</f>
        <v>-1805.03227944592</v>
      </c>
      <c r="I14" s="21" t="n">
        <f aca="false">-I5*Assumptions!I22</f>
        <v>-1919.35099047749</v>
      </c>
      <c r="J14" s="21" t="n">
        <f aca="false">-J5*Assumptions!J22</f>
        <v>-2019.95145618528</v>
      </c>
      <c r="K14" s="21" t="n">
        <f aca="false">-K5*Assumptions!K22</f>
        <v>-2162.43017496977</v>
      </c>
      <c r="L14" s="21" t="n">
        <f aca="false">-L5*Assumptions!L22</f>
        <v>-2335.42458896736</v>
      </c>
    </row>
    <row r="15" customFormat="false" ht="15" hidden="false" customHeight="false" outlineLevel="0" collapsed="false">
      <c r="A15" s="10" t="s">
        <v>91</v>
      </c>
      <c r="C15" s="21" t="n">
        <f aca="false">-(C5-B5)*Assumptions!C23</f>
        <v>-173.69121</v>
      </c>
      <c r="D15" s="21" t="n">
        <f aca="false">-(D5-C5)*Assumptions!D23</f>
        <v>-167.3565894</v>
      </c>
      <c r="E15" s="21" t="n">
        <f aca="false">-(E5-D5)*Assumptions!E23</f>
        <v>-177.158903922</v>
      </c>
      <c r="F15" s="21" t="n">
        <f aca="false">-(F5-E5)*Assumptions!F23</f>
        <v>-184.79036439864</v>
      </c>
      <c r="G15" s="21" t="n">
        <f aca="false">-(G5-F5)*Assumptions!G23</f>
        <v>-189.718107449271</v>
      </c>
      <c r="H15" s="21" t="n">
        <f aca="false">-(H5-G5)*Assumptions!H23</f>
        <v>-191.442817516991</v>
      </c>
      <c r="I15" s="21" t="n">
        <f aca="false">-(I5-H5)*Assumptions!I23</f>
        <v>-210.58709926869</v>
      </c>
      <c r="J15" s="21" t="n">
        <f aca="false">-(J5-I5)*Assumptions!J23</f>
        <v>-208.481228276003</v>
      </c>
      <c r="K15" s="21" t="n">
        <f aca="false">-(K5-J5)*Assumptions!K23</f>
        <v>-227.244538820844</v>
      </c>
      <c r="L15" s="21" t="n">
        <f aca="false">-(L5-K5)*Assumptions!L23</f>
        <v>-220.174708724195</v>
      </c>
    </row>
    <row r="16" customFormat="false" ht="15" hidden="false" customHeight="false" outlineLevel="0" collapsed="false">
      <c r="A16" s="3" t="s">
        <v>92</v>
      </c>
      <c r="C16" s="23" t="n">
        <f aca="false">C12+C13+C14+C15</f>
        <v>323.4073844067</v>
      </c>
      <c r="D16" s="23" t="n">
        <f aca="false">D12+D13+D14+D15</f>
        <v>540.379604160396</v>
      </c>
      <c r="E16" s="23" t="n">
        <f aca="false">E12+E13+E14+E15</f>
        <v>781.962484209784</v>
      </c>
      <c r="F16" s="23" t="n">
        <f aca="false">F12+F13+F14+F15</f>
        <v>1049.49346782259</v>
      </c>
      <c r="G16" s="23" t="n">
        <f aca="false">G12+G13+G14+G15</f>
        <v>1262.38386810929</v>
      </c>
      <c r="H16" s="23" t="n">
        <f aca="false">H12+H13+H14+H15</f>
        <v>1466.03709824562</v>
      </c>
      <c r="I16" s="23" t="n">
        <f aca="false">I12+I13+I14+I15</f>
        <v>1678.8253249832</v>
      </c>
      <c r="J16" s="23" t="n">
        <f aca="false">J12+J13+J14+J15</f>
        <v>1923.11943759374</v>
      </c>
      <c r="K16" s="23" t="n">
        <f aca="false">K12+K13+K14+K15</f>
        <v>2135.51709924936</v>
      </c>
      <c r="L16" s="23" t="n">
        <f aca="false">L12+L13+L14+L15</f>
        <v>2331.60786039162</v>
      </c>
    </row>
    <row r="17" customFormat="false" ht="15" hidden="false" customHeight="false" outlineLevel="0" collapsed="false">
      <c r="A17" s="10"/>
    </row>
    <row r="18" customFormat="false" ht="15" hidden="false" customHeight="false" outlineLevel="0" collapsed="false">
      <c r="A18" s="10" t="s">
        <v>93</v>
      </c>
      <c r="C18" s="24" t="n">
        <v>0.5</v>
      </c>
      <c r="D18" s="24" t="n">
        <v>1.5</v>
      </c>
      <c r="E18" s="24" t="n">
        <v>2.5</v>
      </c>
      <c r="F18" s="24" t="n">
        <v>3.5</v>
      </c>
      <c r="G18" s="24" t="n">
        <v>4.5</v>
      </c>
      <c r="H18" s="24" t="n">
        <v>5.5</v>
      </c>
      <c r="I18" s="24" t="n">
        <v>6.5</v>
      </c>
      <c r="J18" s="24" t="n">
        <v>7.5</v>
      </c>
      <c r="K18" s="24" t="n">
        <v>8.5</v>
      </c>
      <c r="L18" s="24" t="n">
        <v>9.5</v>
      </c>
    </row>
    <row r="19" customFormat="false" ht="15" hidden="false" customHeight="false" outlineLevel="0" collapsed="false">
      <c r="A19" s="10" t="s">
        <v>94</v>
      </c>
      <c r="C19" s="25" t="n">
        <f aca="false">1/(1+WACC!$B$20)^C18</f>
        <v>0.948096542552379</v>
      </c>
      <c r="D19" s="25" t="n">
        <f aca="false">1/(1+WACC!$B$20)^D18</f>
        <v>0.852231708042281</v>
      </c>
      <c r="E19" s="25" t="n">
        <f aca="false">1/(1+WACC!$B$20)^E18</f>
        <v>0.766060049367322</v>
      </c>
      <c r="F19" s="25" t="n">
        <f aca="false">1/(1+WACC!$B$20)^F18</f>
        <v>0.688601460962714</v>
      </c>
      <c r="G19" s="25" t="n">
        <f aca="false">1/(1+WACC!$B$20)^G18</f>
        <v>0.618974938624716</v>
      </c>
      <c r="H19" s="25" t="n">
        <f aca="false">1/(1+WACC!$B$20)^H18</f>
        <v>0.556388559080062</v>
      </c>
      <c r="I19" s="25" t="n">
        <f aca="false">1/(1+WACC!$B$20)^I18</f>
        <v>0.500130472750657</v>
      </c>
      <c r="J19" s="25" t="n">
        <f aca="false">1/(1+WACC!$B$20)^J18</f>
        <v>0.449560807266353</v>
      </c>
      <c r="K19" s="25" t="n">
        <f aca="false">1/(1+WACC!$B$20)^K18</f>
        <v>0.404104389637413</v>
      </c>
      <c r="L19" s="25" t="n">
        <f aca="false">1/(1+WACC!$B$20)^L18</f>
        <v>0.363244204309551</v>
      </c>
    </row>
    <row r="20" customFormat="false" ht="15" hidden="false" customHeight="false" outlineLevel="0" collapsed="false">
      <c r="A20" s="3" t="s">
        <v>95</v>
      </c>
      <c r="C20" s="26" t="n">
        <f aca="false">C16*C19</f>
        <v>306.621422991901</v>
      </c>
      <c r="D20" s="26" t="n">
        <f aca="false">D16*D19</f>
        <v>460.528633044826</v>
      </c>
      <c r="E20" s="26" t="n">
        <f aca="false">E16*E19</f>
        <v>599.030219257141</v>
      </c>
      <c r="F20" s="26" t="n">
        <f aca="false">F16*F19</f>
        <v>722.682735213458</v>
      </c>
      <c r="G20" s="26" t="n">
        <f aca="false">G16*G19</f>
        <v>781.383977283776</v>
      </c>
      <c r="H20" s="26" t="n">
        <f aca="false">H16*H19</f>
        <v>815.686268650795</v>
      </c>
      <c r="I20" s="26" t="n">
        <f aca="false">I16*I19</f>
        <v>839.631703449622</v>
      </c>
      <c r="J20" s="26" t="n">
        <f aca="false">J16*J19</f>
        <v>864.559126834257</v>
      </c>
      <c r="K20" s="26" t="n">
        <f aca="false">K16*K19</f>
        <v>862.971833952419</v>
      </c>
      <c r="L20" s="26" t="n">
        <f aca="false">L16*L19</f>
        <v>846.94304200985</v>
      </c>
    </row>
    <row r="22" customFormat="false" ht="15" hidden="false" customHeight="false" outlineLevel="0" collapsed="false">
      <c r="A22" s="3" t="s">
        <v>96</v>
      </c>
    </row>
    <row r="23" customFormat="false" ht="15" hidden="false" customHeight="false" outlineLevel="0" collapsed="false">
      <c r="A23" s="10" t="s">
        <v>97</v>
      </c>
      <c r="B23" s="21" t="n">
        <f aca="false">SUM(C20:L20)</f>
        <v>7100.03896268804</v>
      </c>
    </row>
    <row r="24" customFormat="false" ht="15" hidden="false" customHeight="false" outlineLevel="0" collapsed="false">
      <c r="A24" s="10" t="s">
        <v>6</v>
      </c>
      <c r="B24" s="8" t="n">
        <f aca="false">WACC!B20</f>
        <v>0.112486819729245</v>
      </c>
    </row>
    <row r="25" customFormat="false" ht="15" hidden="false" customHeight="false" outlineLevel="0" collapsed="false">
      <c r="A25" s="10" t="s">
        <v>7</v>
      </c>
      <c r="B25" s="8" t="n">
        <f aca="false">Assumptions!$C$28</f>
        <v>0.05</v>
      </c>
    </row>
    <row r="26" customFormat="false" ht="15" hidden="false" customHeight="false" outlineLevel="0" collapsed="false">
      <c r="A26" s="10" t="s">
        <v>98</v>
      </c>
      <c r="B26" s="21" t="n">
        <f aca="false">L16*(1+B25)/(B24-B25)</f>
        <v>39179.2743496819</v>
      </c>
    </row>
    <row r="27" customFormat="false" ht="15" hidden="false" customHeight="false" outlineLevel="0" collapsed="false">
      <c r="A27" s="10" t="s">
        <v>99</v>
      </c>
      <c r="B27" s="21" t="n">
        <f aca="false">B26/(1+B24)^10</f>
        <v>13492.9727903427</v>
      </c>
    </row>
    <row r="28" customFormat="false" ht="15" hidden="false" customHeight="false" outlineLevel="0" collapsed="false">
      <c r="A28" s="3" t="s">
        <v>100</v>
      </c>
      <c r="B28" s="27" t="n">
        <f aca="false">B23+B27</f>
        <v>20593.0117530307</v>
      </c>
    </row>
    <row r="29" customFormat="false" ht="15" hidden="false" customHeight="false" outlineLevel="0" collapsed="false">
      <c r="A29" s="10" t="s">
        <v>8</v>
      </c>
      <c r="B29" s="22" t="n">
        <f aca="false">B27/B28</f>
        <v>0.655220953212776</v>
      </c>
    </row>
    <row r="30" customFormat="false" ht="15" hidden="false" customHeight="false" outlineLevel="0" collapsed="false">
      <c r="A30" s="10" t="s">
        <v>101</v>
      </c>
      <c r="B30" s="9" t="n">
        <f aca="false">Historicals!F16</f>
        <v>1889.4</v>
      </c>
    </row>
    <row r="31" customFormat="false" ht="15" hidden="false" customHeight="false" outlineLevel="0" collapsed="false">
      <c r="A31" s="10" t="s">
        <v>102</v>
      </c>
      <c r="B31" s="9" t="n">
        <f aca="false">-Historicals!F17</f>
        <v>-1326.7</v>
      </c>
    </row>
    <row r="32" customFormat="false" ht="15" hidden="false" customHeight="false" outlineLevel="0" collapsed="false">
      <c r="A32" s="10" t="s">
        <v>103</v>
      </c>
      <c r="B32" s="9" t="n">
        <f aca="false">-Assumptions!B35</f>
        <v>-274.248897411314</v>
      </c>
    </row>
    <row r="33" customFormat="false" ht="15" hidden="false" customHeight="false" outlineLevel="0" collapsed="false">
      <c r="A33" s="10" t="s">
        <v>104</v>
      </c>
      <c r="B33" s="21" t="n">
        <f aca="false">SUM(B28,B30,B31,B32)</f>
        <v>20881.4628556194</v>
      </c>
    </row>
    <row r="34" customFormat="false" ht="15" hidden="false" customHeight="false" outlineLevel="0" collapsed="false">
      <c r="A34" s="10" t="s">
        <v>105</v>
      </c>
      <c r="B34" s="21" t="n">
        <f aca="false">B33*(1+WACC!B10)^(Assumptions!B30/365)</f>
        <v>22154.9549333491</v>
      </c>
    </row>
    <row r="35" customFormat="false" ht="15" hidden="false" customHeight="false" outlineLevel="0" collapsed="false">
      <c r="A35" s="10" t="s">
        <v>106</v>
      </c>
      <c r="B35" s="21" t="n">
        <f aca="false">-Assumptions!B31*WACC!B15</f>
        <v>-161.761760305851</v>
      </c>
    </row>
    <row r="36" customFormat="false" ht="15" hidden="false" customHeight="false" outlineLevel="0" collapsed="false">
      <c r="A36" s="3" t="s">
        <v>107</v>
      </c>
      <c r="B36" s="27" t="n">
        <f aca="false">B34+B35</f>
        <v>21993.1931730433</v>
      </c>
    </row>
    <row r="37" customFormat="false" ht="15" hidden="false" customHeight="false" outlineLevel="0" collapsed="false">
      <c r="A37" s="10" t="s">
        <v>108</v>
      </c>
      <c r="B37" s="28" t="n">
        <f aca="false">WACC!B15</f>
        <v>14.0662400265957</v>
      </c>
    </row>
    <row r="38" customFormat="false" ht="15" hidden="false" customHeight="false" outlineLevel="0" collapsed="false">
      <c r="A38" s="3" t="s">
        <v>109</v>
      </c>
      <c r="B38" s="29" t="n">
        <f aca="false">B36/B37</f>
        <v>1563.54456709537</v>
      </c>
    </row>
    <row r="39" customFormat="false" ht="15" hidden="false" customHeight="false" outlineLevel="0" collapsed="false">
      <c r="A39" s="10" t="s">
        <v>110</v>
      </c>
      <c r="B39" s="6" t="n">
        <f aca="false">WACC!B14</f>
        <v>2406.4</v>
      </c>
    </row>
    <row r="40" customFormat="false" ht="15" hidden="false" customHeight="false" outlineLevel="0" collapsed="false">
      <c r="A40" s="3" t="s">
        <v>5</v>
      </c>
      <c r="B40" s="30" t="n">
        <f aca="false">B38/B39-1</f>
        <v>-0.350255748381244</v>
      </c>
    </row>
    <row r="42" customFormat="false" ht="15" hidden="false" customHeight="false" outlineLevel="0" collapsed="false">
      <c r="A42" s="3" t="s">
        <v>111</v>
      </c>
    </row>
    <row r="43" customFormat="false" ht="15" hidden="false" customHeight="false" outlineLevel="0" collapsed="false">
      <c r="A43" s="10" t="s">
        <v>112</v>
      </c>
      <c r="B43" s="31" t="n">
        <f aca="false">(B36-B30-B31-B32)/C7</f>
        <v>9.77675058310849</v>
      </c>
    </row>
    <row r="44" customFormat="false" ht="15" hidden="false" customHeight="false" outlineLevel="0" collapsed="false">
      <c r="A44" s="10" t="s">
        <v>113</v>
      </c>
      <c r="B44" s="31" t="n">
        <f aca="false">B26/L7</f>
        <v>6.68611962750149</v>
      </c>
    </row>
    <row r="45" customFormat="false" ht="15" hidden="false" customHeight="false" outlineLevel="0" collapsed="false">
      <c r="A45" s="10" t="s">
        <v>114</v>
      </c>
      <c r="B45" s="31" t="n">
        <f aca="false">(WACC!B16-B30-B31-B32)/C7</f>
        <v>15.1171165700628</v>
      </c>
    </row>
    <row r="47" customFormat="false" ht="15" hidden="false" customHeight="false" outlineLevel="0" collapsed="false">
      <c r="A47" s="3" t="s">
        <v>115</v>
      </c>
    </row>
    <row r="48" customFormat="false" ht="15" hidden="false" customHeight="false" outlineLevel="0" collapsed="false">
      <c r="A48" s="10" t="s">
        <v>116</v>
      </c>
      <c r="B48" s="3" t="str">
        <f aca="false">IF(B24&gt;B25,"OK","ERROR")</f>
        <v>OK</v>
      </c>
    </row>
    <row r="49" customFormat="false" ht="15" hidden="false" customHeight="false" outlineLevel="0" collapsed="false">
      <c r="A49" s="10" t="s">
        <v>117</v>
      </c>
      <c r="B49" s="3" t="str">
        <f aca="false">IF(Assumptions!L22&gt;=Assumptions!L21,"OK","CHECK")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3" t="s">
        <v>120</v>
      </c>
    </row>
    <row r="5" customFormat="false" ht="15" hidden="false" customHeight="false" outlineLevel="0" collapsed="false">
      <c r="B5" s="32" t="n">
        <v>0.04</v>
      </c>
      <c r="C5" s="32" t="n">
        <v>0.045</v>
      </c>
      <c r="D5" s="32" t="n">
        <v>0.05</v>
      </c>
      <c r="E5" s="32" t="n">
        <v>0.055</v>
      </c>
      <c r="F5" s="32" t="n">
        <v>0.06</v>
      </c>
    </row>
    <row r="6" customFormat="false" ht="15" hidden="false" customHeight="false" outlineLevel="0" collapsed="false">
      <c r="A6" s="32" t="n">
        <v>0.0975</v>
      </c>
      <c r="B6" s="33" t="n">
        <f aca="false">((((SUMPRODUCT(DCF!C16:L16/(1+$A6)^DCF!C18:L18)+DCF!L16*(1+B$5)/($A6-B$5)/(1+$A6)^10))+DCF!$B$30+DCF!$B$31+DCF!$B$32)*(1+WACC!$B$10)^(Assumptions!$B$30/365)+DCF!$B$35)/DCF!$B$37</f>
        <v>1843.51744898357</v>
      </c>
      <c r="C6" s="33" t="n">
        <f aca="false">((((SUMPRODUCT(DCF!C16:L16/(1+$A6)^DCF!C18:L18)+DCF!L16*(1+C$5)/($A6-C$5)/(1+$A6)^10))+DCF!$B$30+DCF!$B$31+DCF!$B$32)*(1+WACC!$B$10)^(Assumptions!$B$30/365)+DCF!$B$35)/DCF!$B$37</f>
        <v>1969.61002979302</v>
      </c>
      <c r="D6" s="33" t="n">
        <f aca="false">((((SUMPRODUCT(DCF!C16:L16/(1+$A6)^DCF!C18:L18)+DCF!L16*(1+D$5)/($A6-D$5)/(1+$A6)^10))+DCF!$B$30+DCF!$B$31+DCF!$B$32)*(1+WACC!$B$10)^(Assumptions!$B$30/365)+DCF!$B$35)/DCF!$B$37</f>
        <v>2122.24841708867</v>
      </c>
      <c r="E6" s="33" t="n">
        <f aca="false">((((SUMPRODUCT(DCF!C16:L16/(1+$A6)^DCF!C18:L18)+DCF!L16*(1+E$5)/($A6-E$5)/(1+$A6)^10))+DCF!$B$30+DCF!$B$31+DCF!$B$32)*(1+WACC!$B$10)^(Assumptions!$B$30/365)+DCF!$B$35)/DCF!$B$37</f>
        <v>2310.80171904212</v>
      </c>
      <c r="F6" s="33" t="n">
        <f aca="false">((((SUMPRODUCT(DCF!C16:L16/(1+$A6)^DCF!C18:L18)+DCF!L16*(1+F$5)/($A6-F$5)/(1+$A6)^10))+DCF!$B$30+DCF!$B$31+DCF!$B$32)*(1+WACC!$B$10)^(Assumptions!$B$30/365)+DCF!$B$35)/DCF!$B$37</f>
        <v>2549.63590151649</v>
      </c>
    </row>
    <row r="7" customFormat="false" ht="15" hidden="false" customHeight="false" outlineLevel="0" collapsed="false">
      <c r="A7" s="32" t="n">
        <v>0.1025</v>
      </c>
      <c r="B7" s="33" t="n">
        <f aca="false">((((SUMPRODUCT(DCF!C16:L16/(1+$A7)^DCF!C18:L18)+DCF!L16*(1+B$5)/($A7-B$5)/(1+$A7)^10))+DCF!$B$30+DCF!$B$31+DCF!$B$32)*(1+WACC!$B$10)^(Assumptions!$B$30/365)+DCF!$B$35)/DCF!$B$37</f>
        <v>1676.95576274843</v>
      </c>
      <c r="C7" s="33" t="n">
        <f aca="false">((((SUMPRODUCT(DCF!C16:L16/(1+$A7)^DCF!C18:L18)+DCF!L16*(1+C$5)/($A7-C$5)/(1+$A7)^10))+DCF!$B$30+DCF!$B$31+DCF!$B$32)*(1+WACC!$B$10)^(Assumptions!$B$30/365)+DCF!$B$35)/DCF!$B$37</f>
        <v>1778.62795708455</v>
      </c>
      <c r="D7" s="33" t="n">
        <f aca="false">((((SUMPRODUCT(DCF!C16:L16/(1+$A7)^DCF!C18:L18)+DCF!L16*(1+D$5)/($A7-D$5)/(1+$A7)^10))+DCF!$B$30+DCF!$B$31+DCF!$B$32)*(1+WACC!$B$10)^(Assumptions!$B$30/365)+DCF!$B$35)/DCF!$B$37</f>
        <v>1899.66628367518</v>
      </c>
      <c r="E7" s="33" t="n">
        <f aca="false">((((SUMPRODUCT(DCF!C16:L16/(1+$A7)^DCF!C18:L18)+DCF!L16*(1+E$5)/($A7-E$5)/(1+$A7)^10))+DCF!$B$30+DCF!$B$31+DCF!$B$32)*(1+WACC!$B$10)^(Assumptions!$B$30/365)+DCF!$B$35)/DCF!$B$37</f>
        <v>2046.18636323224</v>
      </c>
      <c r="F7" s="33" t="n">
        <f aca="false">((((SUMPRODUCT(DCF!C16:L16/(1+$A7)^DCF!C18:L18)+DCF!L16*(1+F$5)/($A7-F$5)/(1+$A7)^10))+DCF!$B$30+DCF!$B$31+DCF!$B$32)*(1+WACC!$B$10)^(Assumptions!$B$30/365)+DCF!$B$35)/DCF!$B$37</f>
        <v>2227.18175562627</v>
      </c>
    </row>
    <row r="8" customFormat="false" ht="15" hidden="false" customHeight="false" outlineLevel="0" collapsed="false">
      <c r="A8" s="32" t="n">
        <v>0.1075</v>
      </c>
      <c r="B8" s="33" t="n">
        <f aca="false">((((SUMPRODUCT(DCF!C16:L16/(1+$A8)^DCF!C18:L18)+DCF!L16*(1+B$5)/($A8-B$5)/(1+$A8)^10))+DCF!$B$30+DCF!$B$31+DCF!$B$32)*(1+WACC!$B$10)^(Assumptions!$B$30/365)+DCF!$B$35)/DCF!$B$37</f>
        <v>1535.70008774048</v>
      </c>
      <c r="C8" s="33" t="n">
        <f aca="false">((((SUMPRODUCT(DCF!C16:L16/(1+$A8)^DCF!C18:L18)+DCF!L16*(1+C$5)/($A8-C$5)/(1+$A8)^10))+DCF!$B$30+DCF!$B$31+DCF!$B$32)*(1+WACC!$B$10)^(Assumptions!$B$30/365)+DCF!$B$35)/DCF!$B$37</f>
        <v>1618.85349279287</v>
      </c>
      <c r="D8" s="33" t="n">
        <f aca="false">((((SUMPRODUCT(DCF!C16:L16/(1+$A8)^DCF!C18:L18)+DCF!L16*(1+D$5)/($A8-D$5)/(1+$A8)^10))+DCF!$B$30+DCF!$B$31+DCF!$B$32)*(1+WACC!$B$10)^(Assumptions!$B$30/365)+DCF!$B$35)/DCF!$B$37</f>
        <v>1716.4683595935</v>
      </c>
      <c r="E8" s="33" t="n">
        <f aca="false">((((SUMPRODUCT(DCF!C16:L16/(1+$A8)^DCF!C18:L18)+DCF!L16*(1+E$5)/($A8-E$5)/(1+$A8)^10))+DCF!$B$30+DCF!$B$31+DCF!$B$32)*(1+WACC!$B$10)^(Assumptions!$B$30/365)+DCF!$B$35)/DCF!$B$37</f>
        <v>1832.67653435616</v>
      </c>
      <c r="F8" s="33" t="n">
        <f aca="false">((((SUMPRODUCT(DCF!C16:L16/(1+$A8)^DCF!C18:L18)+DCF!L16*(1+F$5)/($A8-F$5)/(1+$A8)^10))+DCF!$B$30+DCF!$B$31+DCF!$B$32)*(1+WACC!$B$10)^(Assumptions!$B$30/365)+DCF!$B$35)/DCF!$B$37</f>
        <v>1973.34958801621</v>
      </c>
    </row>
    <row r="9" customFormat="false" ht="15" hidden="false" customHeight="false" outlineLevel="0" collapsed="false">
      <c r="A9" s="32" t="n">
        <v>0.1125</v>
      </c>
      <c r="B9" s="33" t="n">
        <f aca="false">((((SUMPRODUCT(DCF!C16:L16/(1+$A9)^DCF!C18:L18)+DCF!L16*(1+B$5)/($A9-B$5)/(1+$A9)^10))+DCF!$B$30+DCF!$B$31+DCF!$B$32)*(1+WACC!$B$10)^(Assumptions!$B$30/365)+DCF!$B$35)/DCF!$B$37</f>
        <v>1414.48776380959</v>
      </c>
      <c r="C9" s="33" t="n">
        <f aca="false">((((SUMPRODUCT(DCF!C16:L16/(1+$A9)^DCF!C18:L18)+DCF!L16*(1+C$5)/($A9-C$5)/(1+$A9)^10))+DCF!$B$30+DCF!$B$31+DCF!$B$32)*(1+WACC!$B$10)^(Assumptions!$B$30/365)+DCF!$B$35)/DCF!$B$37</f>
        <v>1483.32374160377</v>
      </c>
      <c r="D9" s="33" t="n">
        <f aca="false">((((SUMPRODUCT(DCF!C16:L16/(1+$A9)^DCF!C18:L18)+DCF!L16*(1+D$5)/($A9-D$5)/(1+$A9)^10))+DCF!$B$30+DCF!$B$31+DCF!$B$32)*(1+WACC!$B$10)^(Assumptions!$B$30/365)+DCF!$B$35)/DCF!$B$37</f>
        <v>1563.17347584503</v>
      </c>
      <c r="E9" s="33" t="n">
        <f aca="false">((((SUMPRODUCT(DCF!C16:L16/(1+$A9)^DCF!C18:L18)+DCF!L16*(1+E$5)/($A9-E$5)/(1+$A9)^10))+DCF!$B$30+DCF!$B$31+DCF!$B$32)*(1+WACC!$B$10)^(Assumptions!$B$30/365)+DCF!$B$35)/DCF!$B$37</f>
        <v>1656.91012038912</v>
      </c>
      <c r="F9" s="33" t="n">
        <f aca="false">((((SUMPRODUCT(DCF!C16:L16/(1+$A9)^DCF!C18:L18)+DCF!L16*(1+F$5)/($A9-F$5)/(1+$A9)^10))+DCF!$B$30+DCF!$B$31+DCF!$B$32)*(1+WACC!$B$10)^(Assumptions!$B$30/365)+DCF!$B$35)/DCF!$B$37</f>
        <v>1768.50136389398</v>
      </c>
    </row>
    <row r="10" customFormat="false" ht="15" hidden="false" customHeight="false" outlineLevel="0" collapsed="false">
      <c r="A10" s="32" t="n">
        <v>0.1175</v>
      </c>
      <c r="B10" s="33" t="n">
        <f aca="false">((((SUMPRODUCT(DCF!C16:L16/(1+$A10)^DCF!C18:L18)+DCF!L16*(1+B$5)/($A10-B$5)/(1+$A10)^10))+DCF!$B$30+DCF!$B$31+DCF!$B$32)*(1+WACC!$B$10)^(Assumptions!$B$30/365)+DCF!$B$35)/DCF!$B$37</f>
        <v>1309.41563541519</v>
      </c>
      <c r="C10" s="33" t="n">
        <f aca="false">((((SUMPRODUCT(DCF!C16:L16/(1+$A10)^DCF!C18:L18)+DCF!L16*(1+C$5)/($A10-C$5)/(1+$A10)^10))+DCF!$B$30+DCF!$B$31+DCF!$B$32)*(1+WACC!$B$10)^(Assumptions!$B$30/365)+DCF!$B$35)/DCF!$B$37</f>
        <v>1366.99805990793</v>
      </c>
      <c r="D10" s="33" t="n">
        <f aca="false">((((SUMPRODUCT(DCF!C16:L16/(1+$A10)^DCF!C18:L18)+DCF!L16*(1+D$5)/($A10-D$5)/(1+$A10)^10))+DCF!$B$30+DCF!$B$31+DCF!$B$32)*(1+WACC!$B$10)^(Assumptions!$B$30/365)+DCF!$B$35)/DCF!$B$37</f>
        <v>1433.11121395515</v>
      </c>
      <c r="E10" s="33" t="n">
        <f aca="false">((((SUMPRODUCT(DCF!C16:L16/(1+$A10)^DCF!C18:L18)+DCF!L16*(1+E$5)/($A10-E$5)/(1+$A10)^10))+DCF!$B$30+DCF!$B$31+DCF!$B$32)*(1+WACC!$B$10)^(Assumptions!$B$30/365)+DCF!$B$35)/DCF!$B$37</f>
        <v>1509.80247264993</v>
      </c>
      <c r="F10" s="33" t="n">
        <f aca="false">((((SUMPRODUCT(DCF!C16:L16/(1+$A10)^DCF!C18:L18)+DCF!L16*(1+F$5)/($A10-F$5)/(1+$A10)^10))+DCF!$B$30+DCF!$B$31+DCF!$B$32)*(1+WACC!$B$10)^(Assumptions!$B$30/365)+DCF!$B$35)/DCF!$B$37</f>
        <v>1599.83134155249</v>
      </c>
    </row>
    <row r="11" customFormat="false" ht="15" hidden="false" customHeight="false" outlineLevel="0" collapsed="false">
      <c r="A11" s="32" t="n">
        <v>0.1225</v>
      </c>
      <c r="B11" s="33" t="n">
        <f aca="false">((((SUMPRODUCT(DCF!C16:L16/(1+$A11)^DCF!C18:L18)+DCF!L16*(1+B$5)/($A11-B$5)/(1+$A11)^10))+DCF!$B$30+DCF!$B$31+DCF!$B$32)*(1+WACC!$B$10)^(Assumptions!$B$30/365)+DCF!$B$35)/DCF!$B$37</f>
        <v>1217.52799823961</v>
      </c>
      <c r="C11" s="33" t="n">
        <f aca="false">((((SUMPRODUCT(DCF!C16:L16/(1+$A11)^DCF!C18:L18)+DCF!L16*(1+C$5)/($A11-C$5)/(1+$A11)^10))+DCF!$B$30+DCF!$B$31+DCF!$B$32)*(1+WACC!$B$10)^(Assumptions!$B$30/365)+DCF!$B$35)/DCF!$B$37</f>
        <v>1266.13788887259</v>
      </c>
      <c r="D11" s="33" t="n">
        <f aca="false">((((SUMPRODUCT(DCF!C16:L16/(1+$A11)^DCF!C18:L18)+DCF!L16*(1+D$5)/($A11-D$5)/(1+$A11)^10))+DCF!$B$30+DCF!$B$31+DCF!$B$32)*(1+WACC!$B$10)^(Assumptions!$B$30/365)+DCF!$B$35)/DCF!$B$37</f>
        <v>1321.45259200667</v>
      </c>
      <c r="E11" s="33" t="n">
        <f aca="false">((((SUMPRODUCT(DCF!C16:L16/(1+$A11)^DCF!C18:L18)+DCF!L16*(1+E$5)/($A11-E$5)/(1+$A11)^10))+DCF!$B$30+DCF!$B$31+DCF!$B$32)*(1+WACC!$B$10)^(Assumptions!$B$30/365)+DCF!$B$35)/DCF!$B$37</f>
        <v>1384.96206597542</v>
      </c>
      <c r="F11" s="33" t="n">
        <f aca="false">((((SUMPRODUCT(DCF!C16:L16/(1+$A11)^DCF!C18:L18)+DCF!L16*(1+F$5)/($A11-F$5)/(1+$A11)^10))+DCF!$B$30+DCF!$B$31+DCF!$B$32)*(1+WACC!$B$10)^(Assumptions!$B$30/365)+DCF!$B$35)/DCF!$B$37</f>
        <v>1458.63305577918</v>
      </c>
    </row>
    <row r="12" customFormat="false" ht="15" hidden="false" customHeight="false" outlineLevel="0" collapsed="false">
      <c r="A12" s="32" t="n">
        <v>0.1275</v>
      </c>
      <c r="B12" s="33" t="n">
        <f aca="false">((((SUMPRODUCT(DCF!C16:L16/(1+$A12)^DCF!C18:L18)+DCF!L16*(1+B$5)/($A12-B$5)/(1+$A12)^10))+DCF!$B$30+DCF!$B$31+DCF!$B$32)*(1+WACC!$B$10)^(Assumptions!$B$30/365)+DCF!$B$35)/DCF!$B$37</f>
        <v>1136.54582653923</v>
      </c>
      <c r="C12" s="33" t="n">
        <f aca="false">((((SUMPRODUCT(DCF!C16:L16/(1+$A12)^DCF!C18:L18)+DCF!L16*(1+C$5)/($A12-C$5)/(1+$A12)^10))+DCF!$B$30+DCF!$B$31+DCF!$B$32)*(1+WACC!$B$10)^(Assumptions!$B$30/365)+DCF!$B$35)/DCF!$B$37</f>
        <v>1177.91210828163</v>
      </c>
      <c r="D12" s="33" t="n">
        <f aca="false">((((SUMPRODUCT(DCF!C16:L16/(1+$A12)^DCF!C18:L18)+DCF!L16*(1+D$5)/($A12-D$5)/(1+$A12)^10))+DCF!$B$30+DCF!$B$31+DCF!$B$32)*(1+WACC!$B$10)^(Assumptions!$B$30/365)+DCF!$B$35)/DCF!$B$37</f>
        <v>1224.61597476499</v>
      </c>
      <c r="E12" s="33" t="n">
        <f aca="false">((((SUMPRODUCT(DCF!C16:L16/(1+$A12)^DCF!C18:L18)+DCF!L16*(1+E$5)/($A12-E$5)/(1+$A12)^10))+DCF!$B$30+DCF!$B$31+DCF!$B$32)*(1+WACC!$B$10)^(Assumptions!$B$30/365)+DCF!$B$35)/DCF!$B$37</f>
        <v>1277.76175386674</v>
      </c>
      <c r="F12" s="33" t="n">
        <f aca="false">((((SUMPRODUCT(DCF!C16:L16/(1+$A12)^DCF!C18:L18)+DCF!L16*(1+F$5)/($A12-F$5)/(1+$A12)^10))+DCF!$B$30+DCF!$B$31+DCF!$B$32)*(1+WACC!$B$10)^(Assumptions!$B$30/365)+DCF!$B$35)/DCF!$B$37</f>
        <v>1338.7809817243</v>
      </c>
    </row>
    <row r="14" customFormat="false" ht="15" hidden="false" customHeight="false" outlineLevel="0" collapsed="false">
      <c r="A14" s="3" t="s">
        <v>121</v>
      </c>
      <c r="B14" s="6" t="n">
        <f aca="false">WACC!B14</f>
        <v>2406.4</v>
      </c>
    </row>
    <row r="15" customFormat="false" ht="15" hidden="false" customHeight="false" outlineLevel="0" collapsed="false">
      <c r="A15" s="3" t="s">
        <v>122</v>
      </c>
      <c r="B15" s="8" t="n">
        <f aca="false">WACC!B20</f>
        <v>0.112486819729245</v>
      </c>
    </row>
    <row r="17" customFormat="false" ht="15" hidden="false" customHeight="false" outlineLevel="0" collapsed="false">
      <c r="A17" s="3" t="s">
        <v>123</v>
      </c>
    </row>
    <row r="18" customFormat="false" ht="15" hidden="false" customHeight="false" outlineLevel="0" collapsed="false">
      <c r="A18" s="3" t="s">
        <v>124</v>
      </c>
      <c r="B18" s="34" t="n">
        <v>10</v>
      </c>
      <c r="C18" s="34" t="n">
        <v>12</v>
      </c>
      <c r="D18" s="34" t="n">
        <v>14</v>
      </c>
      <c r="E18" s="34" t="n">
        <v>16</v>
      </c>
      <c r="F18" s="34" t="n">
        <v>18</v>
      </c>
    </row>
    <row r="19" customFormat="false" ht="15" hidden="false" customHeight="false" outlineLevel="0" collapsed="false">
      <c r="A19" s="10" t="s">
        <v>125</v>
      </c>
      <c r="B19" s="33" t="n">
        <f aca="false">(((SUMPRODUCT(DCF!C16:L16/(1+WACC!$B$20)^DCF!C18:L18)+B$18*DCF!$L$7/(1+WACC!$B$20)^10)+DCF!$B$30+DCF!$B$31+DCF!$B$32)*(1+WACC!$B$10)^(Assumptions!$B$30/365)+DCF!$B$35)/DCF!$B$37</f>
        <v>2067.97613301801</v>
      </c>
      <c r="C19" s="33" t="n">
        <f aca="false">(((SUMPRODUCT(DCF!C16:L16/(1+WACC!$B$20)^DCF!C18:L18)+C$18*DCF!$L$7/(1+WACC!$B$20)^10)+DCF!$B$30+DCF!$B$31+DCF!$B$32)*(1+WACC!$B$10)^(Assumptions!$B$30/365)+DCF!$B$35)/DCF!$B$37</f>
        <v>2372.41172466389</v>
      </c>
      <c r="D19" s="33" t="n">
        <f aca="false">(((SUMPRODUCT(DCF!C16:L16/(1+WACC!$B$20)^DCF!C18:L18)+D$18*DCF!$L$7/(1+WACC!$B$20)^10)+DCF!$B$30+DCF!$B$31+DCF!$B$32)*(1+WACC!$B$10)^(Assumptions!$B$30/365)+DCF!$B$35)/DCF!$B$37</f>
        <v>2676.84731630978</v>
      </c>
      <c r="E19" s="33" t="n">
        <f aca="false">(((SUMPRODUCT(DCF!C16:L16/(1+WACC!$B$20)^DCF!C18:L18)+E$18*DCF!$L$7/(1+WACC!$B$20)^10)+DCF!$B$30+DCF!$B$31+DCF!$B$32)*(1+WACC!$B$10)^(Assumptions!$B$30/365)+DCF!$B$35)/DCF!$B$37</f>
        <v>2981.28290795567</v>
      </c>
      <c r="F19" s="33" t="n">
        <f aca="false">(((SUMPRODUCT(DCF!C16:L16/(1+WACC!$B$20)^DCF!C18:L18)+F$18*DCF!$L$7/(1+WACC!$B$20)^10)+DCF!$B$30+DCF!$B$31+DCF!$B$32)*(1+WACC!$B$10)^(Assumptions!$B$30/365)+DCF!$B$35)/DCF!$B$37</f>
        <v>3285.71849960155</v>
      </c>
    </row>
    <row r="20" customFormat="false" ht="15" hidden="false" customHeight="false" outlineLevel="0" collapsed="false">
      <c r="A20" s="10" t="s">
        <v>126</v>
      </c>
      <c r="B20" s="22" t="n">
        <f aca="false">(B$18*DCF!$L$7*WACC!$B$20-DCF!L16)/(B$18*DCF!$L$7+DCF!L16)</f>
        <v>0.0699149691508658</v>
      </c>
      <c r="C20" s="22" t="n">
        <f aca="false">(C$18*DCF!$L$7*WACC!$B$20-DCF!L16)/(C$18*DCF!$L$7+DCF!L16)</f>
        <v>0.0767825600651345</v>
      </c>
      <c r="D20" s="22" t="n">
        <f aca="false">(D$18*DCF!$L$7*WACC!$B$20-DCF!L16)/(D$18*DCF!$L$7+DCF!L16)</f>
        <v>0.0817422085131535</v>
      </c>
      <c r="E20" s="22" t="n">
        <f aca="false">(E$18*DCF!$L$7*WACC!$B$20-DCF!L16)/(E$18*DCF!$L$7+DCF!L16)</f>
        <v>0.0854920316458039</v>
      </c>
      <c r="F20" s="22" t="n">
        <f aca="false">(F$18*DCF!$L$7*WACC!$B$20-DCF!L16)/(F$18*DCF!$L$7+DCF!L16)</f>
        <v>0.0884265827618733</v>
      </c>
    </row>
    <row r="22" customFormat="false" ht="15" hidden="false" customHeight="false" outlineLevel="0" collapsed="false">
      <c r="A22" s="3" t="s">
        <v>127</v>
      </c>
    </row>
    <row r="23" customFormat="false" ht="15" hidden="false" customHeight="false" outlineLevel="0" collapsed="false">
      <c r="B23" s="32" t="n">
        <v>0.06</v>
      </c>
      <c r="C23" s="32" t="n">
        <v>0.0708</v>
      </c>
      <c r="D23" s="32" t="n">
        <v>0.08</v>
      </c>
    </row>
    <row r="24" customFormat="false" ht="15" hidden="false" customHeight="false" outlineLevel="0" collapsed="false">
      <c r="A24" s="35" t="n">
        <v>0.7</v>
      </c>
      <c r="B24" s="22" t="n">
        <f aca="false">WACC!$B$18*(WACC!$B$7+$A24*B$23)+WACC!$B$19*WACC!$B$13</f>
        <v>0.0936299098738618</v>
      </c>
      <c r="C24" s="22" t="n">
        <f aca="false">WACC!$B$18*(WACC!$B$7+$A24*C$23)+WACC!$B$19*WACC!$B$13</f>
        <v>0.100904774055669</v>
      </c>
      <c r="D24" s="22" t="n">
        <f aca="false">WACC!$B$18*(WACC!$B$7+$A24*D$23)+WACC!$B$19*WACC!$B$13</f>
        <v>0.107101880580912</v>
      </c>
    </row>
    <row r="25" customFormat="false" ht="15" hidden="false" customHeight="false" outlineLevel="0" collapsed="false">
      <c r="A25" s="35" t="n">
        <v>0.87</v>
      </c>
      <c r="B25" s="22" t="n">
        <f aca="false">WACC!$B$18*(WACC!$B$7+$A25*B$23)+WACC!$B$19*WACC!$B$13</f>
        <v>0.10344520281757</v>
      </c>
      <c r="C25" s="22" t="n">
        <f aca="false">WACC!$B$18*(WACC!$B$7+$A25*C$23)+WACC!$B$19*WACC!$B$13</f>
        <v>0.112486819729245</v>
      </c>
      <c r="D25" s="22" t="n">
        <f aca="false">WACC!$B$18*(WACC!$B$7+$A25*D$23)+WACC!$B$19*WACC!$B$13</f>
        <v>0.12018893783919</v>
      </c>
    </row>
    <row r="26" customFormat="false" ht="15" hidden="false" customHeight="false" outlineLevel="0" collapsed="false">
      <c r="A26" s="35" t="n">
        <v>1</v>
      </c>
      <c r="B26" s="22" t="n">
        <f aca="false">WACC!$B$18*(WACC!$B$7+$A26*B$23)+WACC!$B$19*WACC!$B$13</f>
        <v>0.110951015068641</v>
      </c>
      <c r="C26" s="22" t="n">
        <f aca="false">WACC!$B$18*(WACC!$B$7+$A26*C$23)+WACC!$B$19*WACC!$B$13</f>
        <v>0.121343678185509</v>
      </c>
      <c r="D26" s="22" t="n">
        <f aca="false">WACC!$B$18*(WACC!$B$7+$A26*D$23)+WACC!$B$19*WACC!$B$13</f>
        <v>0.130196687507285</v>
      </c>
    </row>
    <row r="27" customFormat="false" ht="15" hidden="false" customHeight="false" outlineLevel="0" collapsed="false">
      <c r="A27" s="35" t="n">
        <v>1.2</v>
      </c>
      <c r="B27" s="22" t="n">
        <f aca="false">WACC!$B$18*(WACC!$B$7+$A27*B$23)+WACC!$B$19*WACC!$B$13</f>
        <v>0.122498418531827</v>
      </c>
      <c r="C27" s="22" t="n">
        <f aca="false">WACC!$B$18*(WACC!$B$7+$A27*C$23)+WACC!$B$19*WACC!$B$13</f>
        <v>0.134969614272069</v>
      </c>
      <c r="D27" s="22" t="n">
        <f aca="false">WACC!$B$18*(WACC!$B$7+$A27*D$23)+WACC!$B$19*WACC!$B$13</f>
        <v>0.1455932254582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2"/>
    <col collapsed="false" customWidth="true" hidden="false" outlineLevel="0" max="8" min="8" style="0" width="4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15" hidden="false" customHeight="false" outlineLevel="0" collapsed="false">
      <c r="A4" s="12" t="s">
        <v>130</v>
      </c>
      <c r="B4" s="13" t="s">
        <v>131</v>
      </c>
      <c r="C4" s="13" t="s">
        <v>132</v>
      </c>
      <c r="D4" s="13" t="s">
        <v>133</v>
      </c>
      <c r="E4" s="13" t="s">
        <v>134</v>
      </c>
      <c r="F4" s="13" t="s">
        <v>135</v>
      </c>
      <c r="G4" s="13" t="s">
        <v>136</v>
      </c>
      <c r="H4" s="13" t="s">
        <v>137</v>
      </c>
    </row>
    <row r="5" customFormat="false" ht="15" hidden="false" customHeight="false" outlineLevel="0" collapsed="false">
      <c r="A5" s="3" t="s">
        <v>138</v>
      </c>
      <c r="B5" s="18" t="n">
        <v>2406.4</v>
      </c>
      <c r="C5" s="36" t="n">
        <v>33829</v>
      </c>
      <c r="D5" s="37" t="n">
        <v>34.9</v>
      </c>
      <c r="E5" s="37" t="n">
        <v>15.6</v>
      </c>
      <c r="F5" s="14" t="n">
        <v>0.149</v>
      </c>
      <c r="G5" s="10" t="s">
        <v>139</v>
      </c>
      <c r="H5" s="10" t="s">
        <v>140</v>
      </c>
    </row>
    <row r="6" customFormat="false" ht="15" hidden="false" customHeight="false" outlineLevel="0" collapsed="false">
      <c r="A6" s="10" t="s">
        <v>141</v>
      </c>
      <c r="B6" s="18" t="n">
        <v>1108</v>
      </c>
      <c r="C6" s="36" t="n">
        <v>64110</v>
      </c>
      <c r="D6" s="37" t="n">
        <v>53.3</v>
      </c>
      <c r="E6" s="37" t="n">
        <v>28.7</v>
      </c>
      <c r="F6" s="14" t="n">
        <v>0.205</v>
      </c>
      <c r="G6" s="10" t="s">
        <v>139</v>
      </c>
      <c r="H6" s="10" t="s">
        <v>142</v>
      </c>
    </row>
    <row r="7" customFormat="false" ht="15" hidden="false" customHeight="false" outlineLevel="0" collapsed="false">
      <c r="A7" s="10" t="s">
        <v>143</v>
      </c>
      <c r="B7" s="18" t="n">
        <v>800</v>
      </c>
      <c r="C7" s="36" t="n">
        <v>49859</v>
      </c>
      <c r="D7" s="37" t="n">
        <v>71.6</v>
      </c>
      <c r="E7" s="37" t="n">
        <v>38.7</v>
      </c>
      <c r="F7" s="14" t="n">
        <v>0.111</v>
      </c>
      <c r="G7" s="10" t="s">
        <v>139</v>
      </c>
      <c r="H7" s="10" t="s">
        <v>144</v>
      </c>
    </row>
    <row r="8" customFormat="false" ht="15" hidden="false" customHeight="false" outlineLevel="0" collapsed="false">
      <c r="A8" s="10" t="s">
        <v>145</v>
      </c>
      <c r="B8" s="18" t="n">
        <v>1303.6</v>
      </c>
      <c r="C8" s="36" t="n">
        <v>25075</v>
      </c>
      <c r="D8" s="37" t="n">
        <v>84.2</v>
      </c>
      <c r="E8" s="37" t="n">
        <v>51.6</v>
      </c>
      <c r="F8" s="14" t="n">
        <v>0.198</v>
      </c>
      <c r="G8" s="10" t="s">
        <v>146</v>
      </c>
      <c r="H8" s="10" t="s">
        <v>147</v>
      </c>
    </row>
    <row r="9" customFormat="false" ht="15" hidden="false" customHeight="false" outlineLevel="0" collapsed="false">
      <c r="A9" s="10" t="s">
        <v>148</v>
      </c>
      <c r="B9" s="18" t="n">
        <v>649.85</v>
      </c>
      <c r="C9" s="36" t="n">
        <v>15537</v>
      </c>
      <c r="D9" s="37" t="n">
        <v>31</v>
      </c>
      <c r="E9" s="31" t="s">
        <v>149</v>
      </c>
      <c r="F9" s="22" t="s">
        <v>149</v>
      </c>
      <c r="G9" s="10" t="s">
        <v>139</v>
      </c>
      <c r="H9" s="10" t="s">
        <v>150</v>
      </c>
    </row>
    <row r="10" customFormat="false" ht="15" hidden="false" customHeight="false" outlineLevel="0" collapsed="false">
      <c r="A10" s="10" t="s">
        <v>151</v>
      </c>
      <c r="B10" s="18" t="n">
        <v>1833</v>
      </c>
      <c r="C10" s="36" t="n">
        <v>89129</v>
      </c>
      <c r="D10" s="37" t="n">
        <v>126.2</v>
      </c>
      <c r="E10" s="37" t="n">
        <v>30</v>
      </c>
      <c r="F10" s="14" t="n">
        <v>0.116</v>
      </c>
      <c r="G10" s="10" t="s">
        <v>146</v>
      </c>
      <c r="H10" s="10" t="s">
        <v>152</v>
      </c>
    </row>
    <row r="12" customFormat="false" ht="15" hidden="false" customHeight="false" outlineLevel="0" collapsed="false">
      <c r="A12" s="3" t="s">
        <v>153</v>
      </c>
      <c r="D12" s="38" t="n">
        <f aca="false">MEDIAN(D6:D9)</f>
        <v>62.45</v>
      </c>
      <c r="E12" s="38" t="n">
        <f aca="false">MEDIAN(E6:E8)</f>
        <v>38.7</v>
      </c>
      <c r="F12" s="39" t="n">
        <f aca="false">MEDIAN(F6:F8)</f>
        <v>0.198</v>
      </c>
    </row>
    <row r="13" customFormat="false" ht="15" hidden="false" customHeight="false" outlineLevel="0" collapsed="false">
      <c r="A13" s="3" t="s">
        <v>154</v>
      </c>
      <c r="D13" s="39" t="n">
        <f aca="false">D5/D12-1</f>
        <v>-0.44115292233787</v>
      </c>
      <c r="E13" s="39" t="n">
        <f aca="false">E5/E12-1</f>
        <v>-0.596899224806202</v>
      </c>
    </row>
    <row r="15" customFormat="false" ht="15" hidden="false" customHeight="false" outlineLevel="0" collapsed="false">
      <c r="A15" s="10" t="s">
        <v>155</v>
      </c>
      <c r="D15" s="33" t="n">
        <f aca="false">D12*68.95</f>
        <v>4305.9275</v>
      </c>
    </row>
    <row r="16" customFormat="false" ht="15" hidden="false" customHeight="false" outlineLevel="0" collapsed="false">
      <c r="A16" s="2" t="s">
        <v>156</v>
      </c>
    </row>
    <row r="18" customFormat="false" ht="15" hidden="false" customHeight="false" outlineLevel="0" collapsed="false">
      <c r="A18" s="2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1"/>
    <col collapsed="false" customWidth="true" hidden="false" outlineLevel="0" max="7" min="7" style="0" width="70"/>
    <col collapsed="false" customWidth="true" hidden="false" outlineLevel="0" max="15" min="8" style="0" width="11"/>
  </cols>
  <sheetData>
    <row r="1" customFormat="false" ht="15" hidden="false" customHeight="false" outlineLevel="0" collapsed="false">
      <c r="A1" s="1" t="s">
        <v>158</v>
      </c>
    </row>
    <row r="2" customFormat="false" ht="15" hidden="false" customHeight="false" outlineLevel="0" collapsed="false">
      <c r="A2" s="2" t="s">
        <v>159</v>
      </c>
    </row>
    <row r="4" customFormat="false" ht="15" hidden="false" customHeight="false" outlineLevel="0" collapsed="false">
      <c r="A4" s="12" t="s">
        <v>80</v>
      </c>
      <c r="B4" s="13" t="s">
        <v>160</v>
      </c>
      <c r="C4" s="13" t="s">
        <v>161</v>
      </c>
      <c r="D4" s="13" t="s">
        <v>162</v>
      </c>
      <c r="E4" s="13" t="s">
        <v>163</v>
      </c>
      <c r="F4" s="13" t="s">
        <v>164</v>
      </c>
      <c r="G4" s="13" t="s">
        <v>165</v>
      </c>
    </row>
    <row r="5" customFormat="false" ht="15" hidden="false" customHeight="false" outlineLevel="0" collapsed="false">
      <c r="A5" s="10" t="s">
        <v>81</v>
      </c>
      <c r="B5" s="36" t="n">
        <v>7549.1</v>
      </c>
      <c r="C5" s="36" t="n">
        <v>8804</v>
      </c>
      <c r="D5" s="36" t="n">
        <v>10240.9</v>
      </c>
      <c r="E5" s="36" t="n">
        <v>11560.8</v>
      </c>
      <c r="F5" s="36" t="n">
        <v>14595.9</v>
      </c>
      <c r="G5" s="2" t="s">
        <v>166</v>
      </c>
    </row>
    <row r="6" customFormat="false" ht="15" hidden="false" customHeight="false" outlineLevel="0" collapsed="false">
      <c r="A6" s="10" t="s">
        <v>83</v>
      </c>
      <c r="B6" s="36" t="n">
        <v>941.4</v>
      </c>
      <c r="C6" s="36" t="n">
        <v>1018.9</v>
      </c>
      <c r="D6" s="36" t="n">
        <v>1307.1</v>
      </c>
      <c r="E6" s="36" t="n">
        <v>1531.7</v>
      </c>
      <c r="F6" s="36" t="n">
        <v>1931.1</v>
      </c>
      <c r="G6" s="2" t="s">
        <v>166</v>
      </c>
    </row>
    <row r="7" customFormat="false" ht="15" hidden="false" customHeight="false" outlineLevel="0" collapsed="false">
      <c r="A7" s="10" t="s">
        <v>85</v>
      </c>
      <c r="B7" s="36" t="n">
        <v>358.5</v>
      </c>
      <c r="C7" s="36" t="n">
        <v>404.2</v>
      </c>
      <c r="D7" s="36" t="n">
        <v>453.1</v>
      </c>
      <c r="E7" s="36" t="n">
        <v>519.3</v>
      </c>
      <c r="F7" s="36" t="n">
        <v>699.7</v>
      </c>
      <c r="G7" s="2" t="s">
        <v>166</v>
      </c>
    </row>
    <row r="8" customFormat="false" ht="15" hidden="false" customHeight="false" outlineLevel="0" collapsed="false">
      <c r="A8" s="10" t="s">
        <v>86</v>
      </c>
      <c r="B8" s="36" t="n">
        <v>582.9</v>
      </c>
      <c r="C8" s="36" t="n">
        <v>614.7</v>
      </c>
      <c r="D8" s="36" t="n">
        <v>854</v>
      </c>
      <c r="E8" s="36" t="n">
        <v>1012.4</v>
      </c>
      <c r="F8" s="36" t="n">
        <v>1231.4</v>
      </c>
      <c r="G8" s="2" t="s">
        <v>166</v>
      </c>
    </row>
    <row r="9" customFormat="false" ht="15" hidden="false" customHeight="false" outlineLevel="0" collapsed="false">
      <c r="A9" s="10" t="s">
        <v>167</v>
      </c>
      <c r="B9" s="36" t="n">
        <v>460.7</v>
      </c>
      <c r="C9" s="36" t="n">
        <v>479.6</v>
      </c>
      <c r="D9" s="36" t="n">
        <v>680.5</v>
      </c>
      <c r="E9" s="36" t="n">
        <v>836.4</v>
      </c>
      <c r="F9" s="36" t="n">
        <v>951.7</v>
      </c>
      <c r="G9" s="2" t="s">
        <v>166</v>
      </c>
    </row>
    <row r="10" customFormat="false" ht="15" hidden="false" customHeight="false" outlineLevel="0" collapsed="false">
      <c r="A10" s="10" t="s">
        <v>168</v>
      </c>
      <c r="B10" s="36" t="n">
        <v>741.6</v>
      </c>
      <c r="C10" s="36" t="n">
        <v>862</v>
      </c>
      <c r="D10" s="36" t="n">
        <v>1057.1</v>
      </c>
      <c r="E10" s="36" t="n">
        <v>1531.7</v>
      </c>
      <c r="F10" s="36" t="n">
        <v>1850.7</v>
      </c>
      <c r="G10" s="2" t="s">
        <v>169</v>
      </c>
    </row>
    <row r="11" customFormat="false" ht="15" hidden="false" customHeight="false" outlineLevel="0" collapsed="false">
      <c r="A11" s="10" t="s">
        <v>170</v>
      </c>
      <c r="B11" s="36" t="n">
        <v>529</v>
      </c>
      <c r="C11" s="36" t="n">
        <v>636.3</v>
      </c>
      <c r="D11" s="36" t="n">
        <v>834.8</v>
      </c>
      <c r="E11" s="36" t="n">
        <v>1053.4</v>
      </c>
      <c r="F11" s="36" t="n">
        <v>1295.8</v>
      </c>
      <c r="G11" s="2" t="s">
        <v>169</v>
      </c>
    </row>
    <row r="12" customFormat="false" ht="15" hidden="false" customHeight="false" outlineLevel="0" collapsed="false">
      <c r="A12" s="10" t="s">
        <v>171</v>
      </c>
      <c r="B12" s="36" t="n">
        <v>5.9</v>
      </c>
      <c r="C12" s="36" t="n">
        <v>120.6</v>
      </c>
      <c r="D12" s="36" t="n">
        <v>6.9</v>
      </c>
      <c r="E12" s="36" t="n">
        <v>20.3</v>
      </c>
      <c r="F12" s="36" t="n">
        <v>357.6</v>
      </c>
      <c r="G12" s="2" t="s">
        <v>169</v>
      </c>
    </row>
    <row r="13" customFormat="false" ht="15" hidden="false" customHeight="false" outlineLevel="0" collapsed="false">
      <c r="A13" s="10" t="s">
        <v>172</v>
      </c>
      <c r="B13" s="36" t="n">
        <v>1136.7</v>
      </c>
      <c r="C13" s="36" t="n">
        <v>1347.7</v>
      </c>
      <c r="D13" s="36" t="n">
        <v>1519.7</v>
      </c>
      <c r="E13" s="36" t="n">
        <v>1693.3</v>
      </c>
      <c r="F13" s="36" t="n">
        <v>2145.3</v>
      </c>
      <c r="G13" s="2" t="s">
        <v>173</v>
      </c>
    </row>
    <row r="14" customFormat="false" ht="15" hidden="false" customHeight="false" outlineLevel="0" collapsed="false">
      <c r="A14" s="10" t="s">
        <v>174</v>
      </c>
      <c r="B14" s="36" t="n">
        <v>728.7</v>
      </c>
      <c r="C14" s="36" t="n">
        <v>865.3</v>
      </c>
      <c r="D14" s="36" t="n">
        <v>915.3</v>
      </c>
      <c r="E14" s="36" t="n">
        <v>984.4</v>
      </c>
      <c r="F14" s="36" t="n">
        <v>1247.2</v>
      </c>
      <c r="G14" s="2" t="s">
        <v>173</v>
      </c>
    </row>
    <row r="15" customFormat="false" ht="15" hidden="false" customHeight="false" outlineLevel="0" collapsed="false">
      <c r="A15" s="10" t="s">
        <v>175</v>
      </c>
      <c r="B15" s="36" t="n">
        <v>1241.3</v>
      </c>
      <c r="C15" s="36" t="n">
        <v>1425.7</v>
      </c>
      <c r="D15" s="36" t="n">
        <v>1604.5</v>
      </c>
      <c r="E15" s="36" t="n">
        <v>1795</v>
      </c>
      <c r="F15" s="36" t="n">
        <v>2369.3</v>
      </c>
      <c r="G15" s="2" t="s">
        <v>173</v>
      </c>
    </row>
    <row r="16" customFormat="false" ht="15" hidden="false" customHeight="false" outlineLevel="0" collapsed="false">
      <c r="A16" s="10" t="s">
        <v>176</v>
      </c>
      <c r="B16" s="36" t="n">
        <v>888.2</v>
      </c>
      <c r="C16" s="36" t="n">
        <v>934</v>
      </c>
      <c r="D16" s="36" t="n">
        <v>1269.7</v>
      </c>
      <c r="E16" s="36" t="n">
        <v>1806.8</v>
      </c>
      <c r="F16" s="36" t="n">
        <v>1889.4</v>
      </c>
      <c r="G16" s="2" t="s">
        <v>173</v>
      </c>
    </row>
    <row r="17" customFormat="false" ht="15" hidden="false" customHeight="false" outlineLevel="0" collapsed="false">
      <c r="A17" s="10" t="s">
        <v>177</v>
      </c>
      <c r="B17" s="36" t="n">
        <v>429.6</v>
      </c>
      <c r="C17" s="36" t="n">
        <v>514.8</v>
      </c>
      <c r="D17" s="36" t="n">
        <v>765.3</v>
      </c>
      <c r="E17" s="36" t="n">
        <v>943.7</v>
      </c>
      <c r="F17" s="36" t="n">
        <v>1326.7</v>
      </c>
      <c r="G17" s="2" t="s">
        <v>173</v>
      </c>
    </row>
    <row r="18" customFormat="false" ht="15" hidden="false" customHeight="false" outlineLevel="0" collapsed="false">
      <c r="A18" s="10" t="s">
        <v>178</v>
      </c>
      <c r="B18" s="36" t="n">
        <v>3920</v>
      </c>
      <c r="C18" s="36" t="n">
        <v>4412.1</v>
      </c>
      <c r="D18" s="36" t="n">
        <v>4977.4</v>
      </c>
      <c r="E18" s="36" t="n">
        <v>5717.4</v>
      </c>
      <c r="F18" s="36" t="n">
        <v>6840.8</v>
      </c>
      <c r="G18" s="2" t="s">
        <v>173</v>
      </c>
    </row>
    <row r="19" customFormat="false" ht="15" hidden="false" customHeight="false" outlineLevel="0" collapsed="false">
      <c r="A19" s="10" t="s">
        <v>179</v>
      </c>
      <c r="B19" s="18" t="n">
        <v>32.75</v>
      </c>
      <c r="C19" s="18" t="n">
        <v>34.09</v>
      </c>
      <c r="D19" s="18" t="n">
        <v>48.38</v>
      </c>
      <c r="E19" s="18" t="n">
        <v>59.46</v>
      </c>
      <c r="F19" s="18" t="n">
        <v>67.66</v>
      </c>
      <c r="G19" s="2" t="s">
        <v>166</v>
      </c>
    </row>
    <row r="21" customFormat="false" ht="15" hidden="false" customHeight="false" outlineLevel="0" collapsed="false">
      <c r="A21" s="3" t="s">
        <v>180</v>
      </c>
    </row>
    <row r="22" customFormat="false" ht="15" hidden="false" customHeight="false" outlineLevel="0" collapsed="false">
      <c r="A22" s="10" t="s">
        <v>44</v>
      </c>
      <c r="C22" s="22" t="n">
        <f aca="false">IF(B5=0,0,C5/B5-1)</f>
        <v>0.166231736233458</v>
      </c>
      <c r="D22" s="22" t="n">
        <f aca="false">IF(C5=0,0,D5/C5-1)</f>
        <v>0.163209904588823</v>
      </c>
      <c r="E22" s="22" t="n">
        <f aca="false">IF(D5=0,0,E5/D5-1)</f>
        <v>0.128885156578035</v>
      </c>
      <c r="F22" s="22" t="n">
        <f aca="false">IF(E5=0,0,F5/E5-1)</f>
        <v>0.262533734689641</v>
      </c>
    </row>
    <row r="23" customFormat="false" ht="15" hidden="false" customHeight="false" outlineLevel="0" collapsed="false">
      <c r="A23" s="10" t="s">
        <v>181</v>
      </c>
      <c r="B23" s="22" t="n">
        <f aca="false">B6/B5</f>
        <v>0.124703607052496</v>
      </c>
      <c r="C23" s="22" t="n">
        <f aca="false">C6/C5</f>
        <v>0.115731485688323</v>
      </c>
      <c r="D23" s="22" t="n">
        <f aca="false">D6/D5</f>
        <v>0.127635266431661</v>
      </c>
      <c r="E23" s="22" t="n">
        <f aca="false">E6/E5</f>
        <v>0.132490831084354</v>
      </c>
      <c r="F23" s="22" t="n">
        <f aca="false">F6/F5</f>
        <v>0.132304277228537</v>
      </c>
    </row>
    <row r="24" customFormat="false" ht="15" hidden="false" customHeight="false" outlineLevel="0" collapsed="false">
      <c r="A24" s="10" t="s">
        <v>54</v>
      </c>
      <c r="B24" s="22" t="n">
        <f aca="false">B7/B5</f>
        <v>0.0474891046614828</v>
      </c>
      <c r="C24" s="22" t="n">
        <f aca="false">C7/C5</f>
        <v>0.045910949568378</v>
      </c>
      <c r="D24" s="22" t="n">
        <f aca="false">D7/D5</f>
        <v>0.0442441582282807</v>
      </c>
      <c r="E24" s="22" t="n">
        <f aca="false">E7/E5</f>
        <v>0.0449190367448619</v>
      </c>
      <c r="F24" s="22" t="n">
        <f aca="false">F7/F5</f>
        <v>0.0479381196089313</v>
      </c>
    </row>
    <row r="25" customFormat="false" ht="15" hidden="false" customHeight="false" outlineLevel="0" collapsed="false">
      <c r="A25" s="10" t="s">
        <v>56</v>
      </c>
      <c r="B25" s="22" t="n">
        <f aca="false">B11/B5</f>
        <v>0.0700745784265674</v>
      </c>
      <c r="C25" s="22" t="n">
        <f aca="false">C11/C5</f>
        <v>0.0722739663789187</v>
      </c>
      <c r="D25" s="22" t="n">
        <f aca="false">D11/D5</f>
        <v>0.0815162729838198</v>
      </c>
      <c r="E25" s="22" t="n">
        <f aca="false">E11/E5</f>
        <v>0.0911182617119923</v>
      </c>
      <c r="F25" s="22" t="n">
        <f aca="false">F11/F5</f>
        <v>0.088778355565604</v>
      </c>
    </row>
    <row r="26" customFormat="false" ht="15" hidden="false" customHeight="false" outlineLevel="0" collapsed="false">
      <c r="A26" s="10" t="s">
        <v>182</v>
      </c>
      <c r="B26" s="21" t="n">
        <f aca="false">B13+B14-B15</f>
        <v>624.1</v>
      </c>
      <c r="C26" s="21" t="n">
        <f aca="false">C13+C14-C15</f>
        <v>787.3</v>
      </c>
      <c r="D26" s="21" t="n">
        <f aca="false">D13+D14-D15</f>
        <v>830.5</v>
      </c>
      <c r="E26" s="21" t="n">
        <f aca="false">E13+E14-E15</f>
        <v>882.7</v>
      </c>
      <c r="F26" s="21" t="n">
        <f aca="false">F13+F14-F15</f>
        <v>1023.2</v>
      </c>
    </row>
    <row r="27" customFormat="false" ht="15" hidden="false" customHeight="false" outlineLevel="0" collapsed="false">
      <c r="A27" s="10" t="s">
        <v>58</v>
      </c>
      <c r="B27" s="22" t="n">
        <f aca="false">B26/B5</f>
        <v>0.0826721066087348</v>
      </c>
      <c r="C27" s="22" t="n">
        <f aca="false">C26/C5</f>
        <v>0.0894252612448887</v>
      </c>
      <c r="D27" s="22" t="n">
        <f aca="false">D26/D5</f>
        <v>0.0810963880127723</v>
      </c>
      <c r="E27" s="22" t="n">
        <f aca="false">E26/E5</f>
        <v>0.0763528475538025</v>
      </c>
      <c r="F27" s="22" t="n">
        <f aca="false">F26/F5</f>
        <v>0.0701018779246227</v>
      </c>
    </row>
    <row r="28" customFormat="false" ht="15" hidden="false" customHeight="false" outlineLevel="0" collapsed="false">
      <c r="A28" s="10" t="s">
        <v>183</v>
      </c>
      <c r="B28" s="22" t="n">
        <f aca="false">1-B9/B8</f>
        <v>0.20964144793275</v>
      </c>
      <c r="C28" s="22" t="n">
        <f aca="false">1-C9/C8</f>
        <v>0.219782007483325</v>
      </c>
      <c r="D28" s="22" t="n">
        <f aca="false">1-D9/D8</f>
        <v>0.203161592505855</v>
      </c>
      <c r="E28" s="22" t="n">
        <f aca="false">1-E9/E8</f>
        <v>0.173844330304228</v>
      </c>
      <c r="F28" s="22" t="n">
        <f aca="false">1-F9/F8</f>
        <v>0.227139840831574</v>
      </c>
    </row>
    <row r="29" customFormat="false" ht="15" hidden="false" customHeight="false" outlineLevel="0" collapsed="false">
      <c r="A29" s="10" t="s">
        <v>184</v>
      </c>
      <c r="B29" s="22" t="n">
        <f aca="false">B9/B18</f>
        <v>0.117525510204082</v>
      </c>
      <c r="C29" s="22" t="n">
        <f aca="false">C9/C18</f>
        <v>0.108701072051857</v>
      </c>
      <c r="D29" s="22" t="n">
        <f aca="false">D9/D18</f>
        <v>0.136717965202716</v>
      </c>
      <c r="E29" s="22" t="n">
        <f aca="false">E9/E18</f>
        <v>0.146290271801868</v>
      </c>
      <c r="F29" s="22" t="n">
        <f aca="false">F9/F18</f>
        <v>0.139121155420419</v>
      </c>
    </row>
    <row r="30" customFormat="false" ht="15" hidden="false" customHeight="false" outlineLevel="0" collapsed="false">
      <c r="A30" s="10" t="s">
        <v>185</v>
      </c>
      <c r="B30" s="21" t="n">
        <f aca="false">B10-B11</f>
        <v>212.6</v>
      </c>
      <c r="C30" s="21" t="n">
        <f aca="false">C10-C11</f>
        <v>225.7</v>
      </c>
      <c r="D30" s="21" t="n">
        <f aca="false">D10-D11</f>
        <v>222.3</v>
      </c>
      <c r="E30" s="21" t="n">
        <f aca="false">E10-E11</f>
        <v>478.3</v>
      </c>
      <c r="F30" s="21" t="n">
        <f aca="false">F10-F11</f>
        <v>554.9</v>
      </c>
    </row>
    <row r="31" customFormat="false" ht="15" hidden="false" customHeight="false" outlineLevel="0" collapsed="false">
      <c r="A31" s="10" t="s">
        <v>186</v>
      </c>
      <c r="B31" s="21" t="n">
        <f aca="false">B16-B17</f>
        <v>458.6</v>
      </c>
      <c r="C31" s="21" t="n">
        <f aca="false">C16-C17</f>
        <v>419.2</v>
      </c>
      <c r="D31" s="21" t="n">
        <f aca="false">D16-D17</f>
        <v>504.4</v>
      </c>
      <c r="E31" s="21" t="n">
        <f aca="false">E16-E17</f>
        <v>863.1</v>
      </c>
      <c r="F31" s="21" t="n">
        <f aca="false">F16-F17</f>
        <v>562.7</v>
      </c>
    </row>
    <row r="33" customFormat="false" ht="15" hidden="false" customHeight="false" outlineLevel="0" collapsed="false">
      <c r="A33" s="2" t="s">
        <v>187</v>
      </c>
    </row>
    <row r="34" customFormat="false" ht="15" hidden="false" customHeight="false" outlineLevel="0" collapsed="false">
      <c r="A34" s="2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3"/>
    <col collapsed="false" customWidth="true" hidden="false" outlineLevel="0" max="3" min="3" style="0" width="90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12" t="s">
        <v>191</v>
      </c>
      <c r="B4" s="13" t="s">
        <v>192</v>
      </c>
      <c r="C4" s="13" t="s">
        <v>193</v>
      </c>
    </row>
    <row r="5" customFormat="false" ht="15" hidden="false" customHeight="false" outlineLevel="0" collapsed="false">
      <c r="A5" s="10" t="s">
        <v>194</v>
      </c>
      <c r="B5" s="14" t="n">
        <v>0.0718</v>
      </c>
      <c r="C5" s="2" t="s">
        <v>195</v>
      </c>
    </row>
    <row r="6" customFormat="false" ht="15" hidden="false" customHeight="false" outlineLevel="0" collapsed="false">
      <c r="A6" s="10" t="s">
        <v>196</v>
      </c>
      <c r="B6" s="14" t="n">
        <v>0.0187</v>
      </c>
      <c r="C6" s="2" t="s">
        <v>197</v>
      </c>
    </row>
    <row r="7" customFormat="false" ht="15" hidden="false" customHeight="false" outlineLevel="0" collapsed="false">
      <c r="A7" s="10" t="s">
        <v>198</v>
      </c>
      <c r="B7" s="22" t="n">
        <f aca="false">B5-B6</f>
        <v>0.0531</v>
      </c>
      <c r="C7" s="2" t="s">
        <v>199</v>
      </c>
    </row>
    <row r="8" customFormat="false" ht="15" hidden="false" customHeight="false" outlineLevel="0" collapsed="false">
      <c r="A8" s="10" t="s">
        <v>200</v>
      </c>
      <c r="B8" s="19" t="n">
        <v>0.87</v>
      </c>
      <c r="C8" s="2" t="s">
        <v>201</v>
      </c>
    </row>
    <row r="9" customFormat="false" ht="15" hidden="false" customHeight="false" outlineLevel="0" collapsed="false">
      <c r="A9" s="10" t="s">
        <v>202</v>
      </c>
      <c r="B9" s="14" t="n">
        <v>0.0708</v>
      </c>
      <c r="C9" s="2" t="s">
        <v>203</v>
      </c>
    </row>
    <row r="10" customFormat="false" ht="15" hidden="false" customHeight="false" outlineLevel="0" collapsed="false">
      <c r="A10" s="3" t="s">
        <v>204</v>
      </c>
      <c r="B10" s="22" t="n">
        <f aca="false">B7+B8*B9</f>
        <v>0.114696</v>
      </c>
      <c r="C10" s="2" t="s">
        <v>205</v>
      </c>
    </row>
    <row r="11" customFormat="false" ht="15" hidden="false" customHeight="false" outlineLevel="0" collapsed="false">
      <c r="A11" s="10" t="s">
        <v>206</v>
      </c>
      <c r="B11" s="14" t="n">
        <v>0.075</v>
      </c>
      <c r="C11" s="2" t="s">
        <v>207</v>
      </c>
    </row>
    <row r="12" customFormat="false" ht="15" hidden="false" customHeight="false" outlineLevel="0" collapsed="false">
      <c r="A12" s="10" t="s">
        <v>61</v>
      </c>
      <c r="B12" s="8" t="n">
        <f aca="false">Assumptions!C27</f>
        <v>0.2517</v>
      </c>
      <c r="C12" s="2" t="s">
        <v>208</v>
      </c>
    </row>
    <row r="13" customFormat="false" ht="15" hidden="false" customHeight="false" outlineLevel="0" collapsed="false">
      <c r="A13" s="10" t="s">
        <v>209</v>
      </c>
      <c r="B13" s="22" t="n">
        <f aca="false">B11*(1-B12)</f>
        <v>0.0561225</v>
      </c>
      <c r="C13" s="2"/>
    </row>
    <row r="14" customFormat="false" ht="15" hidden="false" customHeight="false" outlineLevel="0" collapsed="false">
      <c r="A14" s="10" t="s">
        <v>210</v>
      </c>
      <c r="B14" s="18" t="n">
        <v>2406.4</v>
      </c>
      <c r="C14" s="2" t="s">
        <v>211</v>
      </c>
    </row>
    <row r="15" customFormat="false" ht="15" hidden="false" customHeight="false" outlineLevel="0" collapsed="false">
      <c r="A15" s="10" t="s">
        <v>108</v>
      </c>
      <c r="B15" s="25" t="n">
        <f aca="false">B16/B14</f>
        <v>14.0662400265957</v>
      </c>
      <c r="C15" s="2" t="s">
        <v>212</v>
      </c>
    </row>
    <row r="16" customFormat="false" ht="15" hidden="false" customHeight="false" outlineLevel="0" collapsed="false">
      <c r="A16" s="10" t="s">
        <v>213</v>
      </c>
      <c r="B16" s="36" t="n">
        <v>33849</v>
      </c>
      <c r="C16" s="2" t="s">
        <v>214</v>
      </c>
    </row>
    <row r="17" customFormat="false" ht="15" hidden="false" customHeight="false" outlineLevel="0" collapsed="false">
      <c r="A17" s="10" t="s">
        <v>215</v>
      </c>
      <c r="B17" s="9" t="n">
        <f aca="false">Historicals!F17</f>
        <v>1326.7</v>
      </c>
      <c r="C17" s="2" t="s">
        <v>216</v>
      </c>
    </row>
    <row r="18" customFormat="false" ht="15" hidden="false" customHeight="false" outlineLevel="0" collapsed="false">
      <c r="A18" s="10" t="s">
        <v>217</v>
      </c>
      <c r="B18" s="22" t="n">
        <f aca="false">B16/(B16+B17)</f>
        <v>0.962283621932186</v>
      </c>
      <c r="C18" s="2" t="s">
        <v>218</v>
      </c>
    </row>
    <row r="19" customFormat="false" ht="15" hidden="false" customHeight="false" outlineLevel="0" collapsed="false">
      <c r="A19" s="10" t="s">
        <v>219</v>
      </c>
      <c r="B19" s="22" t="n">
        <f aca="false">B17/(B16+B17)</f>
        <v>0.0377163780678139</v>
      </c>
      <c r="C19" s="2"/>
    </row>
    <row r="20" customFormat="false" ht="15" hidden="false" customHeight="false" outlineLevel="0" collapsed="false">
      <c r="A20" s="3" t="s">
        <v>6</v>
      </c>
      <c r="B20" s="40" t="n">
        <f aca="false">B18*B10+B19*B13</f>
        <v>0.112486819729245</v>
      </c>
      <c r="C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2026-10-17T21:19:16Z</dcterms:created>
  <dc:creator>openpyxl</dc:creator>
  <dc:description/>
  <dc:language>en-US</dc:language>
  <cp:lastModifiedBy/>
  <dcterms:modified xsi:type="dcterms:W3CDTF">2026-10-17T21:19:16Z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